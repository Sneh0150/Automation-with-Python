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radul_siroliya_morningstar_com/Documents/Desktop/MIA/Hiring/Case Study/"/>
    </mc:Choice>
  </mc:AlternateContent>
  <xr:revisionPtr revIDLastSave="120" documentId="8_{CB107226-AE4C-49E6-9FC8-532FF0C366E6}" xr6:coauthVersionLast="47" xr6:coauthVersionMax="47" xr10:uidLastSave="{A55C2D9B-E848-4CAA-80EB-2F4CA34B51C3}"/>
  <bookViews>
    <workbookView xWindow="-108" yWindow="-108" windowWidth="23256" windowHeight="13896" xr2:uid="{DD58E066-80D8-44E0-904D-CAA581BF9E46}"/>
  </bookViews>
  <sheets>
    <sheet name="2022" sheetId="1" r:id="rId1"/>
    <sheet name="2023" sheetId="2" r:id="rId2"/>
  </sheets>
  <definedNames>
    <definedName name="_xlnm._FilterDatabase" localSheetId="0" hidden="1">'2022'!$A$1:$L$113</definedName>
    <definedName name="_xlnm._FilterDatabase" localSheetId="1" hidden="1">'2023'!$A$1:$L$117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3" i="1"/>
  <c r="G18" i="1"/>
  <c r="G17" i="1"/>
  <c r="G16" i="1"/>
  <c r="G15" i="1"/>
  <c r="G14" i="1"/>
  <c r="G12" i="1"/>
  <c r="G11" i="1"/>
  <c r="G10" i="1"/>
  <c r="F9" i="1"/>
  <c r="G9" i="1" s="1"/>
  <c r="G8" i="1"/>
  <c r="F7" i="1"/>
  <c r="G7" i="1" s="1"/>
  <c r="G6" i="1"/>
  <c r="G5" i="1"/>
  <c r="G4" i="1"/>
  <c r="G3" i="1"/>
  <c r="G2" i="1"/>
  <c r="G112" i="1"/>
  <c r="G111" i="1"/>
  <c r="G110" i="1"/>
  <c r="G109" i="1"/>
  <c r="G108" i="1"/>
  <c r="G107" i="1"/>
  <c r="G102" i="1"/>
  <c r="G101" i="1"/>
  <c r="G100" i="1"/>
  <c r="G99" i="1"/>
  <c r="G98" i="1"/>
  <c r="G96" i="1"/>
  <c r="G95" i="1"/>
  <c r="G94" i="1"/>
  <c r="F93" i="1"/>
  <c r="G93" i="1" s="1"/>
  <c r="G92" i="1"/>
  <c r="F91" i="1"/>
  <c r="G91" i="1" s="1"/>
  <c r="G90" i="1"/>
  <c r="G89" i="1"/>
  <c r="G88" i="1"/>
  <c r="G87" i="1"/>
  <c r="G86" i="1"/>
</calcChain>
</file>

<file path=xl/sharedStrings.xml><?xml version="1.0" encoding="utf-8"?>
<sst xmlns="http://schemas.openxmlformats.org/spreadsheetml/2006/main" count="511" uniqueCount="72">
  <si>
    <t>Timeliness is low due to the inclusion of Delaware region where we purchase fillings on a need basis. Excl. this region, the timeliness is ~99%</t>
  </si>
  <si>
    <t xml:space="preserve">The Utilization is low as the team undertook quite a few non-standard workflow projects and was subject to dynamic targets that were revised a few times during the quarter. in addition, some researchers took more time to hit their ramping targets.
</t>
  </si>
  <si>
    <t>Timeliness is less as we changed our SLA for News Workflow to 6 hours from 24 hours recently. Considering 24Hr SLA, the timeliness would be ~99%. This tewam also has the maximum News inflow across Co-Sec. Also, utilisation is less as some researcher took longer time to ramp.</t>
  </si>
  <si>
    <t>Utilization is low due to high amount of shrinkage attributable to the team owing to issues with the RTS platform</t>
  </si>
  <si>
    <t>Utilization was low due to low yield on existing workflow and shrinkage attributable to the team.</t>
  </si>
  <si>
    <t xml:space="preserve">The Utilization is low as the team undertook quite a few non-standard workflow projects and was subject to dynamic targets that were revised a few times during the quarter.
</t>
  </si>
  <si>
    <t>Ramping researchers defaulted in productivity, hence productivity is at below 100% . RTS issue in October and team events in December led to higher shrinkage, hence utilisation is at  82.6%. News timeliness got improved in Dec, hence improved in timeliness % compared to last quarter</t>
  </si>
  <si>
    <t>RTS issue in October and team events in December led to higher shrinkage, hence utilisation is at 90%</t>
  </si>
  <si>
    <t>RTS issue in October and team events in December led to higher shrinkage, hence utilisation is at 86.9%</t>
  </si>
  <si>
    <t>Funds dataset Productivity is less than 100% since one of the datasets (Fund Returns) within Funds is currently testing a new target benchmarking model which led to frequent revision of targets.</t>
  </si>
  <si>
    <t>Limited Partners dataset was impacted in the last quarter due to change in management scope which led to multiple target revisions.</t>
  </si>
  <si>
    <t>Dip in production is due to cross trainings in the month of December &amp; Dip in quality is due to cross trainings in the month of December</t>
  </si>
  <si>
    <t xml:space="preserve">The team was fully ramped and cross skilled on all processes which has led to higher production on closed loop processs. </t>
  </si>
  <si>
    <t xml:space="preserve">Launched the Data Integration team this quater and completed 3 major projects which has led to higher production numbers </t>
  </si>
  <si>
    <t>The higher workflow month of January contributed to increased productivity and a record high yield in Fund Returns Team.</t>
  </si>
  <si>
    <t xml:space="preserve">Most of the team was on project work, hence utilization is on the lower side. </t>
  </si>
  <si>
    <t>Team Productivity was low in May due to APAC private company workflow</t>
  </si>
  <si>
    <t xml:space="preserve">Team Productivity was low in May &amp; June beacuse of unusual/complex workflow . Utilisation is low due to high shrinkage in June which includes RTS issues, erudite session &amp; town hall </t>
  </si>
  <si>
    <t>Most of the team on LCD data mapping projects during the quarter. Hence, higher shrinkage</t>
  </si>
  <si>
    <t>Higher productivity than usual due great numbers shown by few folks on the VS process.</t>
  </si>
  <si>
    <t>LP Team conducted lots of refresher sessions to improve their quality. hence higher shrinkage</t>
  </si>
  <si>
    <t>FLIPS DH team works on excel sheet based project hence uptime is lower for the team.</t>
  </si>
  <si>
    <t>Utilization - We lent 10 researchers to PE team for 2 months and 6 researchers worked on multiple different projects .</t>
  </si>
  <si>
    <t>Utilization - 2 researchers supported LCD team for entire month. Team also worked on various projects. Also, Q4 had higher shrinkage.</t>
  </si>
  <si>
    <t>Timeliness is 100%, if we exclude DE workflow, as the fillings take time to come (1 - 2 days) wherein the SLA is 48 hours.</t>
  </si>
  <si>
    <t>Utilization - 1) Most of the team on LCD data mapping projects during the quarter. Hence, higher shrinkage
2) Pranav QA was entered as shrinkage which has been subtracked  (5100 mins</t>
  </si>
  <si>
    <t>Utilization - High shrinkage due to events &amp; RTS issues in October impacted Utilization</t>
  </si>
  <si>
    <t>Utilization - We had 4 ramping researchers and their backlog attributed to most of the deficiency here. Also, shrinkage was on the higher side as the new researcher required a lot of floor support.</t>
  </si>
  <si>
    <t>Advisor Workstation</t>
  </si>
  <si>
    <t>Wealth Management</t>
  </si>
  <si>
    <t>Sustainalytics</t>
  </si>
  <si>
    <t>Oracle Financials</t>
  </si>
  <si>
    <t>Credit Fundamentals</t>
  </si>
  <si>
    <t>Credit MCIA</t>
  </si>
  <si>
    <t>Credit Platform</t>
  </si>
  <si>
    <t>Credit View</t>
  </si>
  <si>
    <t>Credit Viewpoint</t>
  </si>
  <si>
    <t>Credit Warehouse</t>
  </si>
  <si>
    <t>DAP-1.0</t>
  </si>
  <si>
    <t>DAP-2.0</t>
  </si>
  <si>
    <t>C&amp;E Data Dev</t>
  </si>
  <si>
    <t>C&amp;E Product Dev</t>
  </si>
  <si>
    <t>MPS - EMEA Client Delivery</t>
  </si>
  <si>
    <t>MPS - Platform (MPS-India)</t>
  </si>
  <si>
    <t>EC Americas Backend</t>
  </si>
  <si>
    <t>EC Client Delivery</t>
  </si>
  <si>
    <t>EC Components</t>
  </si>
  <si>
    <t>Apex</t>
  </si>
  <si>
    <t>Comet</t>
  </si>
  <si>
    <t>Cypher</t>
  </si>
  <si>
    <t>Magneto</t>
  </si>
  <si>
    <t>Pegasus</t>
  </si>
  <si>
    <t>Zenith</t>
  </si>
  <si>
    <t>MPI</t>
  </si>
  <si>
    <t>PDF Reports</t>
  </si>
  <si>
    <t>Research Product</t>
  </si>
  <si>
    <t>Capital Structure</t>
  </si>
  <si>
    <t>EAMS</t>
  </si>
  <si>
    <t>Business Group</t>
  </si>
  <si>
    <t>Team</t>
  </si>
  <si>
    <t>Total FTEs (A)</t>
  </si>
  <si>
    <t>Total Processing FTEs (B)</t>
  </si>
  <si>
    <t>Volume Processed (C)</t>
  </si>
  <si>
    <t>Avg Handling Time in Minutes (D)</t>
  </si>
  <si>
    <t>Total Actual Production Time in minutes (E)</t>
  </si>
  <si>
    <t>Quality (G)</t>
  </si>
  <si>
    <t>Total Available Time in minutes (F)</t>
  </si>
  <si>
    <t>Timeliness (H)</t>
  </si>
  <si>
    <t>Period (I)</t>
  </si>
  <si>
    <t>Comments (J)</t>
  </si>
  <si>
    <t>Jaguar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</si>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</sst>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\-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.5"/>
      <name val="Calibri"/>
      <family val="2"/>
    </font>
    <font>
      <sz val="11.5"/>
      <name val="Calibri"/>
      <family val="2"/>
      <scheme val="minor"/>
    </font>
    <font>
      <sz val="11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10" fontId="0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top"/>
    </xf>
    <xf numFmtId="3" fontId="0" fillId="0" borderId="1" xfId="0" applyNumberForma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quotePrefix="1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3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wrapText="1"/>
    </xf>
    <xf numFmtId="10" fontId="5" fillId="0" borderId="1" xfId="0" applyNumberFormat="1" applyFont="1" applyBorder="1" applyAlignment="1">
      <alignment horizontal="center" vertical="top" wrapText="1"/>
    </xf>
    <xf numFmtId="0" fontId="6" fillId="0" borderId="1" xfId="0" applyFont="1" applyBorder="1"/>
    <xf numFmtId="0" fontId="3" fillId="0" borderId="1" xfId="0" applyFont="1" applyBorder="1"/>
    <xf numFmtId="0" fontId="0" fillId="0" borderId="1" xfId="0" applyBorder="1"/>
    <xf numFmtId="1" fontId="4" fillId="0" borderId="1" xfId="0" applyNumberFormat="1" applyFont="1" applyBorder="1" applyAlignment="1">
      <alignment horizontal="center" vertical="top"/>
    </xf>
    <xf numFmtId="10" fontId="4" fillId="0" borderId="1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0" fontId="0" fillId="0" borderId="1" xfId="0" applyNumberFormat="1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10" fontId="0" fillId="0" borderId="1" xfId="1" applyNumberFormat="1" applyFont="1" applyFill="1" applyBorder="1" applyAlignment="1">
      <alignment horizontal="center" vertical="top"/>
    </xf>
    <xf numFmtId="3" fontId="4" fillId="0" borderId="1" xfId="0" applyNumberFormat="1" applyFont="1" applyBorder="1" applyAlignment="1">
      <alignment horizontal="center" vertical="top"/>
    </xf>
    <xf numFmtId="9" fontId="4" fillId="0" borderId="1" xfId="0" applyNumberFormat="1" applyFont="1" applyBorder="1" applyAlignment="1">
      <alignment horizontal="center" vertical="top"/>
    </xf>
    <xf numFmtId="3" fontId="8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0" fontId="6" fillId="0" borderId="0" xfId="0" applyFont="1" applyBorder="1"/>
    <xf numFmtId="0" fontId="0" fillId="0" borderId="0" xfId="0" applyBorder="1" applyAlignment="1">
      <alignment vertical="center"/>
    </xf>
    <xf numFmtId="0" fontId="3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0881-6058-4960-B314-40934B915EA3}">
  <dimension ref="A1:L113"/>
  <sheetViews>
    <sheetView tabSelected="1" workbookViewId="0"/>
  </sheetViews>
  <sheetFormatPr defaultRowHeight="14.4" x14ac:dyDescent="0.3"/>
  <cols>
    <col min="1" max="1" width="19.5546875" bestFit="1" customWidth="1"/>
    <col min="2" max="2" width="27.77734375" customWidth="1"/>
    <col min="3" max="3" width="9.5546875" style="50" bestFit="1" customWidth="1"/>
    <col min="4" max="4" width="10.77734375" style="50" customWidth="1"/>
    <col min="5" max="5" width="20" style="50" customWidth="1"/>
    <col min="6" max="6" width="21.5546875" style="50" customWidth="1"/>
    <col min="7" max="7" width="26.33203125" style="50" customWidth="1"/>
    <col min="8" max="8" width="20.88671875" style="50" customWidth="1"/>
    <col min="9" max="9" width="8.88671875" style="50"/>
    <col min="10" max="10" width="12.21875" style="50" customWidth="1"/>
  </cols>
  <sheetData>
    <row r="1" spans="1:12" ht="41.4" customHeight="1" x14ac:dyDescent="0.3">
      <c r="A1" s="33" t="s">
        <v>58</v>
      </c>
      <c r="B1" s="33" t="s">
        <v>59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  <c r="H1" s="34" t="s">
        <v>66</v>
      </c>
      <c r="I1" s="35" t="s">
        <v>65</v>
      </c>
      <c r="J1" s="35" t="s">
        <v>67</v>
      </c>
      <c r="K1" s="35" t="s">
        <v>68</v>
      </c>
      <c r="L1" s="4" t="s">
        <v>69</v>
      </c>
    </row>
    <row r="2" spans="1:12" x14ac:dyDescent="0.3">
      <c r="A2" s="3" t="s">
        <v>28</v>
      </c>
      <c r="B2" s="5" t="s">
        <v>31</v>
      </c>
      <c r="C2" s="41">
        <v>92</v>
      </c>
      <c r="D2" s="41">
        <v>75</v>
      </c>
      <c r="E2" s="41">
        <v>27433</v>
      </c>
      <c r="F2" s="41">
        <v>53</v>
      </c>
      <c r="G2" s="41">
        <f>E2*F2</f>
        <v>1453949</v>
      </c>
      <c r="H2" s="43">
        <v>1622069</v>
      </c>
      <c r="I2" s="42">
        <v>0.96599999999999997</v>
      </c>
      <c r="J2" s="42">
        <v>0.97</v>
      </c>
      <c r="K2" s="6">
        <v>44621</v>
      </c>
      <c r="L2" s="38"/>
    </row>
    <row r="3" spans="1:12" x14ac:dyDescent="0.3">
      <c r="A3" s="3" t="s">
        <v>28</v>
      </c>
      <c r="B3" s="5" t="s">
        <v>32</v>
      </c>
      <c r="C3" s="41">
        <v>14</v>
      </c>
      <c r="D3" s="41">
        <v>14</v>
      </c>
      <c r="E3" s="41">
        <v>5934</v>
      </c>
      <c r="F3" s="41">
        <v>48</v>
      </c>
      <c r="G3" s="41">
        <f>E3*F3</f>
        <v>284832</v>
      </c>
      <c r="H3" s="43">
        <v>331836</v>
      </c>
      <c r="I3" s="42">
        <v>0.96799999999999997</v>
      </c>
      <c r="J3" s="42">
        <v>0.93</v>
      </c>
      <c r="K3" s="6">
        <v>44621</v>
      </c>
      <c r="L3" s="38"/>
    </row>
    <row r="4" spans="1:12" x14ac:dyDescent="0.3">
      <c r="A4" s="3" t="s">
        <v>28</v>
      </c>
      <c r="B4" s="5" t="s">
        <v>33</v>
      </c>
      <c r="C4" s="41">
        <v>18</v>
      </c>
      <c r="D4" s="41">
        <v>15</v>
      </c>
      <c r="E4" s="41">
        <v>303522</v>
      </c>
      <c r="F4" s="41">
        <v>1</v>
      </c>
      <c r="G4" s="41">
        <f>E4*F4</f>
        <v>303522</v>
      </c>
      <c r="H4" s="43">
        <v>305798</v>
      </c>
      <c r="I4" s="42">
        <v>0.97799999999999998</v>
      </c>
      <c r="J4" s="42">
        <v>0.82</v>
      </c>
      <c r="K4" s="6">
        <v>44621</v>
      </c>
      <c r="L4" s="38"/>
    </row>
    <row r="5" spans="1:12" x14ac:dyDescent="0.3">
      <c r="A5" s="3" t="s">
        <v>28</v>
      </c>
      <c r="B5" s="5" t="s">
        <v>34</v>
      </c>
      <c r="C5" s="41">
        <v>43</v>
      </c>
      <c r="D5" s="41">
        <v>32</v>
      </c>
      <c r="E5" s="41">
        <v>9375</v>
      </c>
      <c r="F5" s="41">
        <v>53</v>
      </c>
      <c r="G5" s="41">
        <f>E5*F5</f>
        <v>496875</v>
      </c>
      <c r="H5" s="43">
        <v>572184</v>
      </c>
      <c r="I5" s="42">
        <v>0.96</v>
      </c>
      <c r="J5" s="42">
        <v>0.97</v>
      </c>
      <c r="K5" s="6">
        <v>44621</v>
      </c>
      <c r="L5" s="38"/>
    </row>
    <row r="6" spans="1:12" x14ac:dyDescent="0.3">
      <c r="A6" s="3" t="s">
        <v>28</v>
      </c>
      <c r="B6" s="5" t="s">
        <v>35</v>
      </c>
      <c r="C6" s="41">
        <v>33</v>
      </c>
      <c r="D6" s="41">
        <v>27</v>
      </c>
      <c r="E6" s="41">
        <v>12620</v>
      </c>
      <c r="F6" s="41">
        <v>34</v>
      </c>
      <c r="G6" s="41">
        <f>E6*F6</f>
        <v>429080</v>
      </c>
      <c r="H6" s="43">
        <v>502236</v>
      </c>
      <c r="I6" s="42">
        <v>0.96099999999999997</v>
      </c>
      <c r="J6" s="42">
        <v>0.97</v>
      </c>
      <c r="K6" s="6">
        <v>44621</v>
      </c>
      <c r="L6" s="38"/>
    </row>
    <row r="7" spans="1:12" x14ac:dyDescent="0.3">
      <c r="A7" s="3" t="s">
        <v>28</v>
      </c>
      <c r="B7" s="5" t="s">
        <v>36</v>
      </c>
      <c r="C7" s="41">
        <v>43</v>
      </c>
      <c r="D7" s="41">
        <v>34</v>
      </c>
      <c r="E7" s="41">
        <v>13185</v>
      </c>
      <c r="F7" s="41">
        <f>480/11</f>
        <v>43.636363636363633</v>
      </c>
      <c r="G7" s="41">
        <f>E7*F7</f>
        <v>575345.45454545447</v>
      </c>
      <c r="H7" s="43">
        <v>696896.27272727271</v>
      </c>
      <c r="I7" s="42">
        <v>0.95860000000000001</v>
      </c>
      <c r="J7" s="42">
        <v>0.97729999999999995</v>
      </c>
      <c r="K7" s="6">
        <v>44621</v>
      </c>
      <c r="L7" s="38"/>
    </row>
    <row r="8" spans="1:12" x14ac:dyDescent="0.3">
      <c r="A8" s="3" t="s">
        <v>28</v>
      </c>
      <c r="B8" s="5" t="s">
        <v>37</v>
      </c>
      <c r="C8" s="41">
        <v>17</v>
      </c>
      <c r="D8" s="41">
        <v>15</v>
      </c>
      <c r="E8" s="41">
        <v>3305</v>
      </c>
      <c r="F8" s="41">
        <v>44</v>
      </c>
      <c r="G8" s="41">
        <f>E8*F8</f>
        <v>145420</v>
      </c>
      <c r="H8" s="43">
        <v>164280</v>
      </c>
      <c r="I8" s="42">
        <v>0.97</v>
      </c>
      <c r="J8" s="42">
        <v>0.99</v>
      </c>
      <c r="K8" s="6">
        <v>44621</v>
      </c>
      <c r="L8" s="38"/>
    </row>
    <row r="9" spans="1:12" x14ac:dyDescent="0.3">
      <c r="A9" s="3" t="s">
        <v>28</v>
      </c>
      <c r="B9" s="5" t="s">
        <v>38</v>
      </c>
      <c r="C9" s="41">
        <v>12</v>
      </c>
      <c r="D9" s="41">
        <v>10</v>
      </c>
      <c r="E9" s="41">
        <v>6539.5020000000031</v>
      </c>
      <c r="F9" s="41">
        <f>480/15</f>
        <v>32</v>
      </c>
      <c r="G9" s="41">
        <f>E9*F9</f>
        <v>209264.0640000001</v>
      </c>
      <c r="H9" s="43">
        <v>232518.79199999999</v>
      </c>
      <c r="I9" s="42">
        <v>0.9526</v>
      </c>
      <c r="J9" s="42">
        <v>0.9123</v>
      </c>
      <c r="K9" s="6">
        <v>44621</v>
      </c>
      <c r="L9" s="38"/>
    </row>
    <row r="10" spans="1:12" x14ac:dyDescent="0.3">
      <c r="A10" s="3" t="s">
        <v>28</v>
      </c>
      <c r="B10" s="5" t="s">
        <v>39</v>
      </c>
      <c r="C10" s="41">
        <v>21</v>
      </c>
      <c r="D10" s="41">
        <v>18</v>
      </c>
      <c r="E10" s="41">
        <v>292810</v>
      </c>
      <c r="F10" s="41">
        <v>1</v>
      </c>
      <c r="G10" s="41">
        <f>E10*F10</f>
        <v>292810</v>
      </c>
      <c r="H10" s="43">
        <v>337107</v>
      </c>
      <c r="I10" s="42">
        <v>0.97</v>
      </c>
      <c r="J10" s="42">
        <v>0.99319999999999997</v>
      </c>
      <c r="K10" s="6">
        <v>44621</v>
      </c>
      <c r="L10" s="38"/>
    </row>
    <row r="11" spans="1:12" x14ac:dyDescent="0.3">
      <c r="A11" s="3" t="s">
        <v>28</v>
      </c>
      <c r="B11" s="5" t="s">
        <v>40</v>
      </c>
      <c r="C11" s="41">
        <v>15</v>
      </c>
      <c r="D11" s="41">
        <v>12</v>
      </c>
      <c r="E11" s="41">
        <v>253285</v>
      </c>
      <c r="F11" s="41">
        <v>1</v>
      </c>
      <c r="G11" s="41">
        <f>E11*F11</f>
        <v>253285</v>
      </c>
      <c r="H11" s="43">
        <v>256575</v>
      </c>
      <c r="I11" s="42">
        <v>0.97</v>
      </c>
      <c r="J11" s="42"/>
      <c r="K11" s="6">
        <v>44621</v>
      </c>
      <c r="L11" s="38"/>
    </row>
    <row r="12" spans="1:12" x14ac:dyDescent="0.3">
      <c r="A12" s="3" t="s">
        <v>28</v>
      </c>
      <c r="B12" s="5" t="s">
        <v>41</v>
      </c>
      <c r="C12" s="41">
        <v>15</v>
      </c>
      <c r="D12" s="41">
        <v>14</v>
      </c>
      <c r="E12" s="41">
        <v>62834</v>
      </c>
      <c r="F12" s="41">
        <v>5</v>
      </c>
      <c r="G12" s="41">
        <f>E12*F12</f>
        <v>314170</v>
      </c>
      <c r="H12" s="43">
        <v>322086</v>
      </c>
      <c r="I12" s="42">
        <v>0.94</v>
      </c>
      <c r="J12" s="42"/>
      <c r="K12" s="6">
        <v>44621</v>
      </c>
      <c r="L12" s="38"/>
    </row>
    <row r="13" spans="1:12" x14ac:dyDescent="0.3">
      <c r="A13" s="3" t="s">
        <v>28</v>
      </c>
      <c r="B13" s="5" t="s">
        <v>42</v>
      </c>
      <c r="C13" s="41"/>
      <c r="D13" s="41"/>
      <c r="E13" s="41"/>
      <c r="F13" s="41"/>
      <c r="G13" s="41"/>
      <c r="H13" s="43"/>
      <c r="I13" s="42"/>
      <c r="J13" s="42"/>
      <c r="K13" s="6">
        <v>44621</v>
      </c>
      <c r="L13" s="38"/>
    </row>
    <row r="14" spans="1:12" x14ac:dyDescent="0.3">
      <c r="A14" s="3" t="s">
        <v>29</v>
      </c>
      <c r="B14" s="5" t="s">
        <v>43</v>
      </c>
      <c r="C14" s="41">
        <v>18</v>
      </c>
      <c r="D14" s="41">
        <v>15</v>
      </c>
      <c r="E14" s="41">
        <v>241353</v>
      </c>
      <c r="F14" s="41">
        <v>1</v>
      </c>
      <c r="G14" s="41">
        <f>E14*F14</f>
        <v>241353</v>
      </c>
      <c r="H14" s="43">
        <v>278330</v>
      </c>
      <c r="I14" s="42">
        <v>0.96699999999999997</v>
      </c>
      <c r="J14" s="42">
        <v>0.996</v>
      </c>
      <c r="K14" s="6">
        <v>44621</v>
      </c>
      <c r="L14" s="38"/>
    </row>
    <row r="15" spans="1:12" ht="15" x14ac:dyDescent="0.3">
      <c r="A15" s="3" t="s">
        <v>29</v>
      </c>
      <c r="B15" s="5" t="s">
        <v>44</v>
      </c>
      <c r="C15" s="41">
        <v>12</v>
      </c>
      <c r="D15" s="41">
        <v>10</v>
      </c>
      <c r="E15" s="44">
        <v>3188</v>
      </c>
      <c r="F15" s="41">
        <v>48.6</v>
      </c>
      <c r="G15" s="41">
        <f>E15*F15</f>
        <v>154936.80000000002</v>
      </c>
      <c r="H15" s="45">
        <v>178115.16</v>
      </c>
      <c r="I15" s="42">
        <v>0.97699999999999998</v>
      </c>
      <c r="J15" s="42">
        <v>0.99</v>
      </c>
      <c r="K15" s="6">
        <v>44621</v>
      </c>
      <c r="L15" s="38"/>
    </row>
    <row r="16" spans="1:12" ht="15" x14ac:dyDescent="0.3">
      <c r="A16" s="3" t="s">
        <v>29</v>
      </c>
      <c r="B16" s="5" t="s">
        <v>45</v>
      </c>
      <c r="C16" s="41">
        <v>31</v>
      </c>
      <c r="D16" s="41">
        <v>26</v>
      </c>
      <c r="E16" s="41">
        <v>536931</v>
      </c>
      <c r="F16" s="41">
        <v>1</v>
      </c>
      <c r="G16" s="41">
        <f>E16*F16</f>
        <v>536931</v>
      </c>
      <c r="H16" s="45">
        <v>546058.20000000007</v>
      </c>
      <c r="I16" s="42">
        <v>0.96699999999999997</v>
      </c>
      <c r="J16" s="42">
        <v>0.98199999999999998</v>
      </c>
      <c r="K16" s="6">
        <v>44621</v>
      </c>
      <c r="L16" s="38"/>
    </row>
    <row r="17" spans="1:12" ht="15" x14ac:dyDescent="0.3">
      <c r="A17" s="3" t="s">
        <v>29</v>
      </c>
      <c r="B17" s="5" t="s">
        <v>46</v>
      </c>
      <c r="C17" s="41">
        <v>27</v>
      </c>
      <c r="D17" s="41">
        <v>23</v>
      </c>
      <c r="E17" s="41">
        <v>128458.1</v>
      </c>
      <c r="F17" s="41">
        <v>4.2</v>
      </c>
      <c r="G17" s="41">
        <f>E17*F17</f>
        <v>539524.02</v>
      </c>
      <c r="H17" s="45">
        <v>550489.92000000004</v>
      </c>
      <c r="I17" s="42">
        <v>0.96499999999999997</v>
      </c>
      <c r="J17" s="42">
        <v>0.96</v>
      </c>
      <c r="K17" s="6">
        <v>44621</v>
      </c>
      <c r="L17" s="38"/>
    </row>
    <row r="18" spans="1:12" ht="15" x14ac:dyDescent="0.3">
      <c r="A18" s="3" t="s">
        <v>29</v>
      </c>
      <c r="B18" s="5" t="s">
        <v>47</v>
      </c>
      <c r="C18" s="41">
        <v>12</v>
      </c>
      <c r="D18" s="41">
        <v>10</v>
      </c>
      <c r="E18" s="41">
        <v>209270</v>
      </c>
      <c r="F18" s="41">
        <v>1</v>
      </c>
      <c r="G18" s="41">
        <f>E18*F18</f>
        <v>209270</v>
      </c>
      <c r="H18" s="45">
        <v>216583.8</v>
      </c>
      <c r="I18" s="42">
        <v>0.96399999999999997</v>
      </c>
      <c r="J18" s="42">
        <v>0.95399999999999996</v>
      </c>
      <c r="K18" s="6">
        <v>44621</v>
      </c>
      <c r="L18" s="38"/>
    </row>
    <row r="19" spans="1:12" ht="15" x14ac:dyDescent="0.3">
      <c r="A19" s="3" t="s">
        <v>29</v>
      </c>
      <c r="B19" s="5" t="s">
        <v>48</v>
      </c>
      <c r="C19" s="41">
        <v>24</v>
      </c>
      <c r="D19" s="41">
        <v>22</v>
      </c>
      <c r="E19" s="44">
        <v>481822</v>
      </c>
      <c r="F19" s="41">
        <v>1</v>
      </c>
      <c r="G19" s="41">
        <v>481822</v>
      </c>
      <c r="H19" s="45">
        <v>470954</v>
      </c>
      <c r="I19" s="42">
        <v>0.95299999999999996</v>
      </c>
      <c r="J19" s="42"/>
      <c r="K19" s="6">
        <v>44621</v>
      </c>
      <c r="L19" s="38"/>
    </row>
    <row r="20" spans="1:12" x14ac:dyDescent="0.3">
      <c r="A20" s="3" t="s">
        <v>29</v>
      </c>
      <c r="B20" s="5" t="s">
        <v>49</v>
      </c>
      <c r="C20" s="41">
        <v>7</v>
      </c>
      <c r="D20" s="41">
        <v>0</v>
      </c>
      <c r="E20" s="41"/>
      <c r="F20" s="41"/>
      <c r="G20" s="41"/>
      <c r="H20" s="43"/>
      <c r="I20" s="42"/>
      <c r="J20" s="42"/>
      <c r="K20" s="6">
        <v>44621</v>
      </c>
      <c r="L20" s="38"/>
    </row>
    <row r="21" spans="1:12" x14ac:dyDescent="0.3">
      <c r="A21" s="3" t="s">
        <v>29</v>
      </c>
      <c r="B21" s="5" t="s">
        <v>50</v>
      </c>
      <c r="C21" s="41">
        <v>5</v>
      </c>
      <c r="D21" s="41">
        <v>0</v>
      </c>
      <c r="E21" s="41"/>
      <c r="F21" s="41"/>
      <c r="G21" s="41"/>
      <c r="H21" s="43"/>
      <c r="I21" s="42"/>
      <c r="J21" s="42"/>
      <c r="K21" s="6">
        <v>44621</v>
      </c>
      <c r="L21" s="38"/>
    </row>
    <row r="22" spans="1:12" x14ac:dyDescent="0.3">
      <c r="A22" s="3" t="s">
        <v>29</v>
      </c>
      <c r="B22" s="5" t="s">
        <v>42</v>
      </c>
      <c r="C22" s="41">
        <v>4</v>
      </c>
      <c r="D22" s="41">
        <v>0</v>
      </c>
      <c r="E22" s="41"/>
      <c r="F22" s="41"/>
      <c r="G22" s="41"/>
      <c r="H22" s="43"/>
      <c r="I22" s="42"/>
      <c r="J22" s="42"/>
      <c r="K22" s="6">
        <v>44621</v>
      </c>
      <c r="L22" s="38"/>
    </row>
    <row r="23" spans="1:12" x14ac:dyDescent="0.3">
      <c r="A23" s="3" t="s">
        <v>30</v>
      </c>
      <c r="B23" s="8" t="s">
        <v>51</v>
      </c>
      <c r="C23" s="41">
        <v>47</v>
      </c>
      <c r="D23" s="41">
        <v>38</v>
      </c>
      <c r="E23" s="41">
        <v>890546.98</v>
      </c>
      <c r="F23" s="41">
        <v>1</v>
      </c>
      <c r="G23" s="41">
        <f>E23*F23</f>
        <v>890546.98</v>
      </c>
      <c r="H23" s="43">
        <v>887563</v>
      </c>
      <c r="I23" s="46">
        <v>0.96</v>
      </c>
      <c r="J23" s="46">
        <v>0.95</v>
      </c>
      <c r="K23" s="6">
        <v>44621</v>
      </c>
      <c r="L23" s="38"/>
    </row>
    <row r="24" spans="1:12" x14ac:dyDescent="0.3">
      <c r="A24" s="3" t="s">
        <v>30</v>
      </c>
      <c r="B24" s="8" t="s">
        <v>70</v>
      </c>
      <c r="C24" s="41">
        <v>22</v>
      </c>
      <c r="D24" s="41">
        <v>19</v>
      </c>
      <c r="E24" s="41">
        <v>457536</v>
      </c>
      <c r="F24" s="41">
        <v>1</v>
      </c>
      <c r="G24" s="41">
        <f>E24*F24</f>
        <v>457536</v>
      </c>
      <c r="H24" s="43">
        <v>462787</v>
      </c>
      <c r="I24" s="46">
        <v>0.96</v>
      </c>
      <c r="J24" s="46">
        <v>0.99</v>
      </c>
      <c r="K24" s="6">
        <v>44621</v>
      </c>
      <c r="L24" s="38"/>
    </row>
    <row r="25" spans="1:12" x14ac:dyDescent="0.3">
      <c r="A25" s="3" t="s">
        <v>30</v>
      </c>
      <c r="B25" s="8" t="s">
        <v>52</v>
      </c>
      <c r="C25" s="41">
        <v>7</v>
      </c>
      <c r="D25" s="41">
        <v>6</v>
      </c>
      <c r="E25" s="41">
        <v>129795</v>
      </c>
      <c r="F25" s="41">
        <v>1</v>
      </c>
      <c r="G25" s="41">
        <f>E25*F25</f>
        <v>129795</v>
      </c>
      <c r="H25" s="43">
        <v>139984</v>
      </c>
      <c r="I25" s="46">
        <v>0.93159999999999998</v>
      </c>
      <c r="J25" s="46">
        <v>0.98899999999999999</v>
      </c>
      <c r="K25" s="6">
        <v>44621</v>
      </c>
      <c r="L25" s="38"/>
    </row>
    <row r="26" spans="1:12" x14ac:dyDescent="0.3">
      <c r="A26" s="3" t="s">
        <v>30</v>
      </c>
      <c r="B26" s="8" t="s">
        <v>71</v>
      </c>
      <c r="C26" s="41">
        <v>32</v>
      </c>
      <c r="D26" s="41">
        <v>26</v>
      </c>
      <c r="E26" s="41">
        <v>499367.14285492001</v>
      </c>
      <c r="F26" s="41">
        <v>1</v>
      </c>
      <c r="G26" s="41">
        <f>E26*F26</f>
        <v>499367.14285492001</v>
      </c>
      <c r="H26" s="43">
        <v>466258.99999768002</v>
      </c>
      <c r="I26" s="46">
        <v>0.96419999999999995</v>
      </c>
      <c r="J26" s="46">
        <v>1</v>
      </c>
      <c r="K26" s="6">
        <v>44621</v>
      </c>
      <c r="L26" s="38"/>
    </row>
    <row r="27" spans="1:12" x14ac:dyDescent="0.3">
      <c r="A27" s="3" t="s">
        <v>30</v>
      </c>
      <c r="B27" s="8" t="s">
        <v>53</v>
      </c>
      <c r="C27" s="41">
        <v>16</v>
      </c>
      <c r="D27" s="41">
        <v>14</v>
      </c>
      <c r="E27" s="41">
        <v>365134.79</v>
      </c>
      <c r="F27" s="41">
        <v>1</v>
      </c>
      <c r="G27" s="41">
        <f>E27*F27</f>
        <v>365134.79</v>
      </c>
      <c r="H27" s="43">
        <v>372299</v>
      </c>
      <c r="I27" s="46">
        <v>0.96</v>
      </c>
      <c r="J27" s="46"/>
      <c r="K27" s="6">
        <v>44621</v>
      </c>
      <c r="L27" s="38"/>
    </row>
    <row r="28" spans="1:12" x14ac:dyDescent="0.3">
      <c r="A28" s="3" t="s">
        <v>30</v>
      </c>
      <c r="B28" s="8" t="s">
        <v>54</v>
      </c>
      <c r="C28" s="41">
        <v>3</v>
      </c>
      <c r="D28" s="41">
        <v>2</v>
      </c>
      <c r="E28" s="41">
        <v>27103</v>
      </c>
      <c r="F28" s="41">
        <v>1</v>
      </c>
      <c r="G28" s="41">
        <f>E28*F28</f>
        <v>27103</v>
      </c>
      <c r="H28" s="43">
        <v>27173</v>
      </c>
      <c r="I28" s="46">
        <v>0.95</v>
      </c>
      <c r="J28" s="46"/>
      <c r="K28" s="6">
        <v>44621</v>
      </c>
      <c r="L28" s="38"/>
    </row>
    <row r="29" spans="1:12" x14ac:dyDescent="0.3">
      <c r="A29" s="3" t="s">
        <v>30</v>
      </c>
      <c r="B29" s="8" t="s">
        <v>55</v>
      </c>
      <c r="C29" s="41">
        <v>4</v>
      </c>
      <c r="D29" s="41">
        <v>0</v>
      </c>
      <c r="E29" s="41"/>
      <c r="F29" s="41"/>
      <c r="G29" s="41"/>
      <c r="H29" s="43"/>
      <c r="I29" s="42"/>
      <c r="J29" s="42"/>
      <c r="K29" s="6">
        <v>44621</v>
      </c>
      <c r="L29" s="38"/>
    </row>
    <row r="30" spans="1:12" x14ac:dyDescent="0.3">
      <c r="A30" s="3" t="s">
        <v>28</v>
      </c>
      <c r="B30" s="5" t="s">
        <v>31</v>
      </c>
      <c r="C30" s="39">
        <v>91</v>
      </c>
      <c r="D30" s="39">
        <v>74</v>
      </c>
      <c r="E30" s="39">
        <v>26992.76</v>
      </c>
      <c r="F30" s="39">
        <v>53.333333333333336</v>
      </c>
      <c r="G30" s="39">
        <v>1439613.8666666667</v>
      </c>
      <c r="H30" s="39">
        <v>1652657.0666666667</v>
      </c>
      <c r="I30" s="40">
        <v>0.96599999999999997</v>
      </c>
      <c r="J30" s="40">
        <v>0.90949999999999998</v>
      </c>
      <c r="K30" s="6">
        <v>44713</v>
      </c>
      <c r="L30" s="38"/>
    </row>
    <row r="31" spans="1:12" x14ac:dyDescent="0.3">
      <c r="A31" s="3" t="s">
        <v>28</v>
      </c>
      <c r="B31" s="5" t="s">
        <v>32</v>
      </c>
      <c r="C31" s="39">
        <v>15</v>
      </c>
      <c r="D31" s="39">
        <v>15</v>
      </c>
      <c r="E31" s="39">
        <v>6874.86</v>
      </c>
      <c r="F31" s="39">
        <v>48</v>
      </c>
      <c r="G31" s="39">
        <v>329993.27999999997</v>
      </c>
      <c r="H31" s="39">
        <v>375746.4</v>
      </c>
      <c r="I31" s="40">
        <v>0.96599999999999997</v>
      </c>
      <c r="J31" s="40">
        <v>0.90790000000000004</v>
      </c>
      <c r="K31" s="6">
        <v>44713</v>
      </c>
      <c r="L31" s="38"/>
    </row>
    <row r="32" spans="1:12" x14ac:dyDescent="0.3">
      <c r="A32" s="3" t="s">
        <v>28</v>
      </c>
      <c r="B32" s="5" t="s">
        <v>33</v>
      </c>
      <c r="C32" s="39">
        <v>16</v>
      </c>
      <c r="D32" s="39">
        <v>13</v>
      </c>
      <c r="E32" s="39">
        <v>212897</v>
      </c>
      <c r="F32" s="39">
        <v>1</v>
      </c>
      <c r="G32" s="39">
        <v>212897</v>
      </c>
      <c r="H32" s="39">
        <v>238609</v>
      </c>
      <c r="I32" s="40">
        <v>0.98199999999999998</v>
      </c>
      <c r="J32" s="40">
        <v>0.84</v>
      </c>
      <c r="K32" s="6">
        <v>44713</v>
      </c>
      <c r="L32" s="38"/>
    </row>
    <row r="33" spans="1:12" x14ac:dyDescent="0.3">
      <c r="A33" s="3" t="s">
        <v>28</v>
      </c>
      <c r="B33" s="5" t="s">
        <v>34</v>
      </c>
      <c r="C33" s="39">
        <v>41</v>
      </c>
      <c r="D33" s="39">
        <v>33</v>
      </c>
      <c r="E33" s="39">
        <v>11147</v>
      </c>
      <c r="F33" s="39">
        <v>53.333333333333336</v>
      </c>
      <c r="G33" s="39">
        <v>594506.66666666674</v>
      </c>
      <c r="H33" s="39">
        <v>731533.33333333337</v>
      </c>
      <c r="I33" s="40">
        <v>0.95899999999999996</v>
      </c>
      <c r="J33" s="40">
        <v>0.92020000000000002</v>
      </c>
      <c r="K33" s="6">
        <v>44713</v>
      </c>
      <c r="L33" s="38"/>
    </row>
    <row r="34" spans="1:12" x14ac:dyDescent="0.3">
      <c r="A34" s="3" t="s">
        <v>28</v>
      </c>
      <c r="B34" s="5" t="s">
        <v>35</v>
      </c>
      <c r="C34" s="39">
        <v>34</v>
      </c>
      <c r="D34" s="39">
        <v>28</v>
      </c>
      <c r="E34" s="39">
        <v>9704.5400000000009</v>
      </c>
      <c r="F34" s="39">
        <v>34.285714285714285</v>
      </c>
      <c r="G34" s="39">
        <v>332727.08571428573</v>
      </c>
      <c r="H34" s="39">
        <v>434828.57142857142</v>
      </c>
      <c r="I34" s="40">
        <v>0.96099999999999997</v>
      </c>
      <c r="J34" s="40">
        <v>0.94869999999999999</v>
      </c>
      <c r="K34" s="6">
        <v>44713</v>
      </c>
      <c r="L34" s="38"/>
    </row>
    <row r="35" spans="1:12" x14ac:dyDescent="0.3">
      <c r="A35" s="3" t="s">
        <v>28</v>
      </c>
      <c r="B35" s="5" t="s">
        <v>36</v>
      </c>
      <c r="C35" s="39">
        <v>45</v>
      </c>
      <c r="D35" s="39">
        <v>36</v>
      </c>
      <c r="E35" s="39">
        <v>10202</v>
      </c>
      <c r="F35" s="39">
        <v>43.636363636363633</v>
      </c>
      <c r="G35" s="39">
        <v>445178.18181818177</v>
      </c>
      <c r="H35" s="39">
        <v>571641.16363636358</v>
      </c>
      <c r="I35" s="40">
        <v>0.97399999999999998</v>
      </c>
      <c r="J35" s="40">
        <v>0.85570000000000002</v>
      </c>
      <c r="K35" s="6">
        <v>44713</v>
      </c>
      <c r="L35" s="38"/>
    </row>
    <row r="36" spans="1:12" x14ac:dyDescent="0.3">
      <c r="A36" s="3" t="s">
        <v>28</v>
      </c>
      <c r="B36" s="5" t="s">
        <v>37</v>
      </c>
      <c r="C36" s="39">
        <v>13</v>
      </c>
      <c r="D36" s="39">
        <v>11</v>
      </c>
      <c r="E36" s="39">
        <v>3816</v>
      </c>
      <c r="F36" s="39">
        <v>43.636363636363633</v>
      </c>
      <c r="G36" s="39">
        <v>166516.36363636362</v>
      </c>
      <c r="H36" s="39">
        <v>212679.92727272725</v>
      </c>
      <c r="I36" s="40">
        <v>0.97899999999999998</v>
      </c>
      <c r="J36" s="40">
        <v>0.94069999999999998</v>
      </c>
      <c r="K36" s="6">
        <v>44713</v>
      </c>
      <c r="L36" s="38"/>
    </row>
    <row r="37" spans="1:12" x14ac:dyDescent="0.3">
      <c r="A37" s="3" t="s">
        <v>28</v>
      </c>
      <c r="B37" s="5" t="s">
        <v>38</v>
      </c>
      <c r="C37" s="39">
        <v>12</v>
      </c>
      <c r="D37" s="39">
        <v>10</v>
      </c>
      <c r="E37" s="39">
        <v>3686.9</v>
      </c>
      <c r="F37" s="39">
        <v>32</v>
      </c>
      <c r="G37" s="39">
        <v>117980.8</v>
      </c>
      <c r="H37" s="39">
        <v>136170.4</v>
      </c>
      <c r="I37" s="40">
        <v>0.97</v>
      </c>
      <c r="J37" s="40">
        <v>0.91300000000000003</v>
      </c>
      <c r="K37" s="6">
        <v>44713</v>
      </c>
      <c r="L37" s="38"/>
    </row>
    <row r="38" spans="1:12" x14ac:dyDescent="0.3">
      <c r="A38" s="3" t="s">
        <v>28</v>
      </c>
      <c r="B38" s="5" t="s">
        <v>39</v>
      </c>
      <c r="C38" s="39">
        <v>21</v>
      </c>
      <c r="D38" s="39">
        <v>17</v>
      </c>
      <c r="E38" s="39">
        <v>176413.7</v>
      </c>
      <c r="F38" s="39">
        <v>1</v>
      </c>
      <c r="G38" s="39">
        <v>176413.7</v>
      </c>
      <c r="H38" s="39">
        <v>220733</v>
      </c>
      <c r="I38" s="40">
        <v>0.97499999999999998</v>
      </c>
      <c r="J38" s="40">
        <v>0.98650000000000004</v>
      </c>
      <c r="K38" s="6">
        <v>44713</v>
      </c>
      <c r="L38" s="38"/>
    </row>
    <row r="39" spans="1:12" x14ac:dyDescent="0.3">
      <c r="A39" s="3" t="s">
        <v>28</v>
      </c>
      <c r="B39" s="5" t="s">
        <v>40</v>
      </c>
      <c r="C39" s="39">
        <v>13</v>
      </c>
      <c r="D39" s="39">
        <v>11</v>
      </c>
      <c r="E39" s="39">
        <v>236889</v>
      </c>
      <c r="F39" s="39">
        <v>1</v>
      </c>
      <c r="G39" s="39">
        <v>236889</v>
      </c>
      <c r="H39" s="39">
        <v>258240</v>
      </c>
      <c r="I39" s="40">
        <v>0.98</v>
      </c>
      <c r="J39" s="40"/>
      <c r="K39" s="6">
        <v>44713</v>
      </c>
      <c r="L39" s="38"/>
    </row>
    <row r="40" spans="1:12" x14ac:dyDescent="0.3">
      <c r="A40" s="3" t="s">
        <v>28</v>
      </c>
      <c r="B40" s="5" t="s">
        <v>41</v>
      </c>
      <c r="C40" s="39">
        <v>14</v>
      </c>
      <c r="D40" s="39">
        <v>12</v>
      </c>
      <c r="E40" s="39">
        <v>64203</v>
      </c>
      <c r="F40" s="39">
        <v>4.8</v>
      </c>
      <c r="G40" s="39">
        <v>308174.39999999997</v>
      </c>
      <c r="H40" s="39">
        <v>317181.2</v>
      </c>
      <c r="I40" s="40">
        <v>0.94799999999999995</v>
      </c>
      <c r="J40" s="40"/>
      <c r="K40" s="6">
        <v>44713</v>
      </c>
      <c r="L40" s="38"/>
    </row>
    <row r="41" spans="1:12" x14ac:dyDescent="0.3">
      <c r="A41" s="3" t="s">
        <v>28</v>
      </c>
      <c r="B41" s="5" t="s">
        <v>42</v>
      </c>
      <c r="C41" s="39">
        <v>5</v>
      </c>
      <c r="D41" s="39"/>
      <c r="E41" s="39"/>
      <c r="F41" s="39"/>
      <c r="G41" s="39"/>
      <c r="H41" s="39"/>
      <c r="I41" s="40"/>
      <c r="J41" s="40"/>
      <c r="K41" s="6">
        <v>44713</v>
      </c>
      <c r="L41" s="38"/>
    </row>
    <row r="42" spans="1:12" x14ac:dyDescent="0.3">
      <c r="A42" s="3" t="s">
        <v>29</v>
      </c>
      <c r="B42" s="5" t="s">
        <v>43</v>
      </c>
      <c r="C42" s="39">
        <v>18</v>
      </c>
      <c r="D42" s="39">
        <v>16</v>
      </c>
      <c r="E42" s="39">
        <v>210008</v>
      </c>
      <c r="F42" s="39">
        <v>1</v>
      </c>
      <c r="G42" s="39">
        <v>210008</v>
      </c>
      <c r="H42" s="39">
        <v>214407.76</v>
      </c>
      <c r="I42" s="40">
        <v>0.95333333333333325</v>
      </c>
      <c r="J42" s="40">
        <v>0.996</v>
      </c>
      <c r="K42" s="6">
        <v>44713</v>
      </c>
      <c r="L42" s="38"/>
    </row>
    <row r="43" spans="1:12" x14ac:dyDescent="0.3">
      <c r="A43" s="3" t="s">
        <v>29</v>
      </c>
      <c r="B43" s="5" t="s">
        <v>44</v>
      </c>
      <c r="C43" s="39">
        <v>12</v>
      </c>
      <c r="D43" s="39">
        <v>10</v>
      </c>
      <c r="E43" s="39">
        <v>6340</v>
      </c>
      <c r="F43" s="39">
        <v>33.1</v>
      </c>
      <c r="G43" s="39">
        <v>209854</v>
      </c>
      <c r="H43" s="39">
        <v>247090.5</v>
      </c>
      <c r="I43" s="40">
        <v>0.98376666666666657</v>
      </c>
      <c r="J43" s="40">
        <v>0.99890000000000001</v>
      </c>
      <c r="K43" s="6">
        <v>44713</v>
      </c>
      <c r="L43" s="38"/>
    </row>
    <row r="44" spans="1:12" x14ac:dyDescent="0.3">
      <c r="A44" s="3" t="s">
        <v>29</v>
      </c>
      <c r="B44" s="5" t="s">
        <v>45</v>
      </c>
      <c r="C44" s="39">
        <v>30</v>
      </c>
      <c r="D44" s="39">
        <v>25</v>
      </c>
      <c r="E44" s="39">
        <v>459489</v>
      </c>
      <c r="F44" s="39">
        <v>1</v>
      </c>
      <c r="G44" s="39">
        <v>459489</v>
      </c>
      <c r="H44" s="39">
        <v>485561.59999999998</v>
      </c>
      <c r="I44" s="40">
        <v>0.9664666666666667</v>
      </c>
      <c r="J44" s="40">
        <v>0.9919</v>
      </c>
      <c r="K44" s="6">
        <v>44713</v>
      </c>
      <c r="L44" s="38"/>
    </row>
    <row r="45" spans="1:12" x14ac:dyDescent="0.3">
      <c r="A45" s="3" t="s">
        <v>29</v>
      </c>
      <c r="B45" s="5" t="s">
        <v>46</v>
      </c>
      <c r="C45" s="39">
        <v>27</v>
      </c>
      <c r="D45" s="39">
        <v>23</v>
      </c>
      <c r="E45" s="39">
        <v>162810</v>
      </c>
      <c r="F45" s="39">
        <v>3.32</v>
      </c>
      <c r="G45" s="39">
        <v>540529.19999999995</v>
      </c>
      <c r="H45" s="39">
        <v>552123.31999999995</v>
      </c>
      <c r="I45" s="40">
        <v>0.96879999999999988</v>
      </c>
      <c r="J45" s="40">
        <v>0.95099999999999996</v>
      </c>
      <c r="K45" s="6">
        <v>44713</v>
      </c>
      <c r="L45" s="38"/>
    </row>
    <row r="46" spans="1:12" x14ac:dyDescent="0.3">
      <c r="A46" s="3" t="s">
        <v>29</v>
      </c>
      <c r="B46" s="5" t="s">
        <v>47</v>
      </c>
      <c r="C46" s="39">
        <v>10</v>
      </c>
      <c r="D46" s="39">
        <v>8</v>
      </c>
      <c r="E46" s="39">
        <v>152269</v>
      </c>
      <c r="F46" s="39">
        <v>1</v>
      </c>
      <c r="G46" s="39">
        <v>152269</v>
      </c>
      <c r="H46" s="39">
        <v>167501</v>
      </c>
      <c r="I46" s="40">
        <v>0.97866666666666668</v>
      </c>
      <c r="J46" s="40">
        <v>0.96499999999999997</v>
      </c>
      <c r="K46" s="6">
        <v>44713</v>
      </c>
      <c r="L46" s="38"/>
    </row>
    <row r="47" spans="1:12" x14ac:dyDescent="0.3">
      <c r="A47" s="3" t="s">
        <v>29</v>
      </c>
      <c r="B47" s="5" t="s">
        <v>48</v>
      </c>
      <c r="C47" s="39">
        <v>24</v>
      </c>
      <c r="D47" s="39">
        <v>22</v>
      </c>
      <c r="E47" s="39">
        <v>450920</v>
      </c>
      <c r="F47" s="39">
        <v>1</v>
      </c>
      <c r="G47" s="39">
        <v>450920</v>
      </c>
      <c r="H47" s="39">
        <v>531246.6</v>
      </c>
      <c r="I47" s="40">
        <v>0.95</v>
      </c>
      <c r="J47" s="40"/>
      <c r="K47" s="6">
        <v>44713</v>
      </c>
      <c r="L47" s="38"/>
    </row>
    <row r="48" spans="1:12" x14ac:dyDescent="0.3">
      <c r="A48" s="3" t="s">
        <v>29</v>
      </c>
      <c r="B48" s="5" t="s">
        <v>49</v>
      </c>
      <c r="C48" s="39">
        <v>7</v>
      </c>
      <c r="D48" s="39"/>
      <c r="E48" s="39"/>
      <c r="F48" s="39"/>
      <c r="G48" s="39"/>
      <c r="H48" s="39"/>
      <c r="I48" s="40"/>
      <c r="J48" s="40"/>
      <c r="K48" s="6">
        <v>44713</v>
      </c>
      <c r="L48" s="38"/>
    </row>
    <row r="49" spans="1:12" x14ac:dyDescent="0.3">
      <c r="A49" s="3" t="s">
        <v>29</v>
      </c>
      <c r="B49" s="5" t="s">
        <v>50</v>
      </c>
      <c r="C49" s="39">
        <v>5</v>
      </c>
      <c r="D49" s="39"/>
      <c r="E49" s="39"/>
      <c r="F49" s="39"/>
      <c r="G49" s="39"/>
      <c r="H49" s="39"/>
      <c r="I49" s="40"/>
      <c r="J49" s="40"/>
      <c r="K49" s="6">
        <v>44713</v>
      </c>
      <c r="L49" s="38"/>
    </row>
    <row r="50" spans="1:12" x14ac:dyDescent="0.3">
      <c r="A50" s="3" t="s">
        <v>29</v>
      </c>
      <c r="B50" s="5" t="s">
        <v>42</v>
      </c>
      <c r="C50" s="39">
        <v>4</v>
      </c>
      <c r="D50" s="39"/>
      <c r="E50" s="39"/>
      <c r="F50" s="39"/>
      <c r="G50" s="39"/>
      <c r="H50" s="39"/>
      <c r="I50" s="40"/>
      <c r="J50" s="40"/>
      <c r="K50" s="6">
        <v>44713</v>
      </c>
      <c r="L50" s="38"/>
    </row>
    <row r="51" spans="1:12" x14ac:dyDescent="0.3">
      <c r="A51" s="3" t="s">
        <v>30</v>
      </c>
      <c r="B51" s="8" t="s">
        <v>51</v>
      </c>
      <c r="C51" s="39">
        <v>46</v>
      </c>
      <c r="D51" s="39">
        <v>28</v>
      </c>
      <c r="E51" s="39">
        <v>676108.93</v>
      </c>
      <c r="F51" s="39">
        <v>1</v>
      </c>
      <c r="G51" s="39">
        <v>676108.93</v>
      </c>
      <c r="H51" s="39">
        <v>726342</v>
      </c>
      <c r="I51" s="40">
        <v>0.95</v>
      </c>
      <c r="J51" s="40">
        <v>0.95569999999999999</v>
      </c>
      <c r="K51" s="6">
        <v>44713</v>
      </c>
      <c r="L51" s="38"/>
    </row>
    <row r="52" spans="1:12" x14ac:dyDescent="0.3">
      <c r="A52" s="3" t="s">
        <v>30</v>
      </c>
      <c r="B52" s="8" t="s">
        <v>70</v>
      </c>
      <c r="C52" s="39">
        <v>19</v>
      </c>
      <c r="D52" s="39">
        <v>10</v>
      </c>
      <c r="E52" s="39">
        <v>257294</v>
      </c>
      <c r="F52" s="39">
        <v>1</v>
      </c>
      <c r="G52" s="39">
        <v>257294</v>
      </c>
      <c r="H52" s="39">
        <v>263176</v>
      </c>
      <c r="I52" s="40">
        <v>0.96</v>
      </c>
      <c r="J52" s="40">
        <v>0.98</v>
      </c>
      <c r="K52" s="6">
        <v>44713</v>
      </c>
      <c r="L52" s="38"/>
    </row>
    <row r="53" spans="1:12" x14ac:dyDescent="0.3">
      <c r="A53" s="3" t="s">
        <v>30</v>
      </c>
      <c r="B53" s="8" t="s">
        <v>52</v>
      </c>
      <c r="C53" s="39">
        <v>5</v>
      </c>
      <c r="D53" s="39">
        <v>2</v>
      </c>
      <c r="E53" s="39">
        <v>36762</v>
      </c>
      <c r="F53" s="39">
        <v>1</v>
      </c>
      <c r="G53" s="39">
        <v>36762</v>
      </c>
      <c r="H53" s="39">
        <v>37545.449999999997</v>
      </c>
      <c r="I53" s="40">
        <v>0.95689999999999997</v>
      </c>
      <c r="J53" s="40">
        <v>0.9899077277970012</v>
      </c>
      <c r="K53" s="6">
        <v>44713</v>
      </c>
      <c r="L53" s="38"/>
    </row>
    <row r="54" spans="1:12" x14ac:dyDescent="0.3">
      <c r="A54" s="3" t="s">
        <v>30</v>
      </c>
      <c r="B54" s="8" t="s">
        <v>71</v>
      </c>
      <c r="C54" s="39">
        <v>32</v>
      </c>
      <c r="D54" s="39">
        <v>26</v>
      </c>
      <c r="E54" s="39">
        <v>543346</v>
      </c>
      <c r="F54" s="39">
        <v>1</v>
      </c>
      <c r="G54" s="39">
        <v>543346</v>
      </c>
      <c r="H54" s="39">
        <v>500806.29</v>
      </c>
      <c r="I54" s="40">
        <v>0.97740000000000005</v>
      </c>
      <c r="J54" s="40">
        <v>0.99990000000000001</v>
      </c>
      <c r="K54" s="6">
        <v>44713</v>
      </c>
      <c r="L54" s="38"/>
    </row>
    <row r="55" spans="1:12" x14ac:dyDescent="0.3">
      <c r="A55" s="3" t="s">
        <v>30</v>
      </c>
      <c r="B55" s="8" t="s">
        <v>53</v>
      </c>
      <c r="C55" s="39">
        <v>15</v>
      </c>
      <c r="D55" s="39">
        <v>5</v>
      </c>
      <c r="E55" s="39">
        <v>91122.37</v>
      </c>
      <c r="F55" s="39">
        <v>1</v>
      </c>
      <c r="G55" s="39">
        <v>91122.37</v>
      </c>
      <c r="H55" s="39">
        <v>95336.31</v>
      </c>
      <c r="I55" s="40">
        <v>0.96</v>
      </c>
      <c r="J55" s="40"/>
      <c r="K55" s="6">
        <v>44713</v>
      </c>
      <c r="L55" s="38"/>
    </row>
    <row r="56" spans="1:12" x14ac:dyDescent="0.3">
      <c r="A56" s="3" t="s">
        <v>30</v>
      </c>
      <c r="B56" s="8" t="s">
        <v>54</v>
      </c>
      <c r="C56" s="39">
        <v>3</v>
      </c>
      <c r="D56" s="39">
        <v>2</v>
      </c>
      <c r="E56" s="39">
        <v>50201.16</v>
      </c>
      <c r="F56" s="39">
        <v>1</v>
      </c>
      <c r="G56" s="39">
        <v>50201.16</v>
      </c>
      <c r="H56" s="39">
        <v>51633.11</v>
      </c>
      <c r="I56" s="40">
        <v>0.98</v>
      </c>
      <c r="J56" s="40"/>
      <c r="K56" s="6">
        <v>44713</v>
      </c>
      <c r="L56" s="38"/>
    </row>
    <row r="57" spans="1:12" x14ac:dyDescent="0.3">
      <c r="A57" s="3" t="s">
        <v>30</v>
      </c>
      <c r="B57" s="8" t="s">
        <v>55</v>
      </c>
      <c r="C57" s="41">
        <v>4</v>
      </c>
      <c r="D57" s="41"/>
      <c r="E57" s="41"/>
      <c r="F57" s="41"/>
      <c r="G57" s="41"/>
      <c r="H57" s="41"/>
      <c r="I57" s="42"/>
      <c r="J57" s="42"/>
      <c r="K57" s="6">
        <v>44713</v>
      </c>
      <c r="L57" s="38"/>
    </row>
    <row r="58" spans="1:12" x14ac:dyDescent="0.3">
      <c r="A58" s="3" t="s">
        <v>28</v>
      </c>
      <c r="B58" s="5" t="s">
        <v>31</v>
      </c>
      <c r="C58" s="39">
        <v>91</v>
      </c>
      <c r="D58" s="39">
        <v>74</v>
      </c>
      <c r="E58" s="39">
        <v>26992.76</v>
      </c>
      <c r="F58" s="39">
        <v>53.333333333333336</v>
      </c>
      <c r="G58" s="39">
        <v>1439613.8666666667</v>
      </c>
      <c r="H58" s="39">
        <v>1652657.0666666667</v>
      </c>
      <c r="I58" s="40">
        <v>0.96599999999999997</v>
      </c>
      <c r="J58" s="40">
        <v>0.90949999999999998</v>
      </c>
      <c r="K58" s="6">
        <v>44805</v>
      </c>
      <c r="L58" s="51"/>
    </row>
    <row r="59" spans="1:12" x14ac:dyDescent="0.3">
      <c r="A59" s="3" t="s">
        <v>28</v>
      </c>
      <c r="B59" s="5" t="s">
        <v>32</v>
      </c>
      <c r="C59" s="39">
        <v>15</v>
      </c>
      <c r="D59" s="39">
        <v>15</v>
      </c>
      <c r="E59" s="39">
        <v>6874.86</v>
      </c>
      <c r="F59" s="39">
        <v>48</v>
      </c>
      <c r="G59" s="39">
        <v>329993.27999999997</v>
      </c>
      <c r="H59" s="39">
        <v>375746.4</v>
      </c>
      <c r="I59" s="40">
        <v>0.96599999999999997</v>
      </c>
      <c r="J59" s="40">
        <v>0.90790000000000004</v>
      </c>
      <c r="K59" s="6">
        <v>44805</v>
      </c>
      <c r="L59" s="51"/>
    </row>
    <row r="60" spans="1:12" x14ac:dyDescent="0.3">
      <c r="A60" s="3" t="s">
        <v>28</v>
      </c>
      <c r="B60" s="5" t="s">
        <v>33</v>
      </c>
      <c r="C60" s="39">
        <v>16</v>
      </c>
      <c r="D60" s="39">
        <v>13</v>
      </c>
      <c r="E60" s="39">
        <v>212897</v>
      </c>
      <c r="F60" s="39">
        <v>1</v>
      </c>
      <c r="G60" s="39">
        <v>212897</v>
      </c>
      <c r="H60" s="39">
        <v>238609</v>
      </c>
      <c r="I60" s="40">
        <v>0.98199999999999998</v>
      </c>
      <c r="J60" s="40">
        <v>0.84</v>
      </c>
      <c r="K60" s="6">
        <v>44805</v>
      </c>
      <c r="L60" s="51" t="s">
        <v>0</v>
      </c>
    </row>
    <row r="61" spans="1:12" x14ac:dyDescent="0.3">
      <c r="A61" s="3" t="s">
        <v>28</v>
      </c>
      <c r="B61" s="5" t="s">
        <v>34</v>
      </c>
      <c r="C61" s="39">
        <v>41</v>
      </c>
      <c r="D61" s="39">
        <v>33</v>
      </c>
      <c r="E61" s="39">
        <v>11147</v>
      </c>
      <c r="F61" s="39">
        <v>53.333333333333336</v>
      </c>
      <c r="G61" s="39">
        <v>594506.66666666674</v>
      </c>
      <c r="H61" s="39">
        <v>731533.33333333337</v>
      </c>
      <c r="I61" s="40">
        <v>0.95899999999999996</v>
      </c>
      <c r="J61" s="40">
        <v>0.92020000000000002</v>
      </c>
      <c r="K61" s="6">
        <v>44805</v>
      </c>
      <c r="L61" s="51"/>
    </row>
    <row r="62" spans="1:12" x14ac:dyDescent="0.3">
      <c r="A62" s="3" t="s">
        <v>28</v>
      </c>
      <c r="B62" s="5" t="s">
        <v>35</v>
      </c>
      <c r="C62" s="39">
        <v>34</v>
      </c>
      <c r="D62" s="39">
        <v>28</v>
      </c>
      <c r="E62" s="39">
        <v>9704.5400000000009</v>
      </c>
      <c r="F62" s="39">
        <v>34.285714285714285</v>
      </c>
      <c r="G62" s="39">
        <v>332727.08571428573</v>
      </c>
      <c r="H62" s="39">
        <v>434828.57142857142</v>
      </c>
      <c r="I62" s="40">
        <v>0.96099999999999997</v>
      </c>
      <c r="J62" s="40">
        <v>0.94869999999999999</v>
      </c>
      <c r="K62" s="6">
        <v>44805</v>
      </c>
      <c r="L62" s="51" t="s">
        <v>1</v>
      </c>
    </row>
    <row r="63" spans="1:12" x14ac:dyDescent="0.3">
      <c r="A63" s="3" t="s">
        <v>28</v>
      </c>
      <c r="B63" s="5" t="s">
        <v>36</v>
      </c>
      <c r="C63" s="39">
        <v>45</v>
      </c>
      <c r="D63" s="39">
        <v>36</v>
      </c>
      <c r="E63" s="39">
        <v>10202</v>
      </c>
      <c r="F63" s="39">
        <v>43.636363636363633</v>
      </c>
      <c r="G63" s="39">
        <v>445178.18181818177</v>
      </c>
      <c r="H63" s="39">
        <v>571641.16363636358</v>
      </c>
      <c r="I63" s="40">
        <v>0.97399999999999998</v>
      </c>
      <c r="J63" s="40">
        <v>0.85570000000000002</v>
      </c>
      <c r="K63" s="6">
        <v>44805</v>
      </c>
      <c r="L63" s="51" t="s">
        <v>2</v>
      </c>
    </row>
    <row r="64" spans="1:12" x14ac:dyDescent="0.3">
      <c r="A64" s="3" t="s">
        <v>28</v>
      </c>
      <c r="B64" s="5" t="s">
        <v>37</v>
      </c>
      <c r="C64" s="39">
        <v>13</v>
      </c>
      <c r="D64" s="39">
        <v>11</v>
      </c>
      <c r="E64" s="39">
        <v>3816</v>
      </c>
      <c r="F64" s="39">
        <v>43.636363636363633</v>
      </c>
      <c r="G64" s="39">
        <v>166516.36363636362</v>
      </c>
      <c r="H64" s="39">
        <v>212679.92727272725</v>
      </c>
      <c r="I64" s="40">
        <v>0.97899999999999998</v>
      </c>
      <c r="J64" s="40">
        <v>0.94069999999999998</v>
      </c>
      <c r="K64" s="6">
        <v>44805</v>
      </c>
      <c r="L64" s="51" t="s">
        <v>3</v>
      </c>
    </row>
    <row r="65" spans="1:12" x14ac:dyDescent="0.3">
      <c r="A65" s="3" t="s">
        <v>28</v>
      </c>
      <c r="B65" s="5" t="s">
        <v>38</v>
      </c>
      <c r="C65" s="39">
        <v>12</v>
      </c>
      <c r="D65" s="39">
        <v>10</v>
      </c>
      <c r="E65" s="39">
        <v>3686.9</v>
      </c>
      <c r="F65" s="39">
        <v>32</v>
      </c>
      <c r="G65" s="39">
        <v>117980.8</v>
      </c>
      <c r="H65" s="39">
        <v>136170.4</v>
      </c>
      <c r="I65" s="40">
        <v>0.97</v>
      </c>
      <c r="J65" s="40">
        <v>0.91300000000000003</v>
      </c>
      <c r="K65" s="6">
        <v>44805</v>
      </c>
      <c r="L65" s="51"/>
    </row>
    <row r="66" spans="1:12" x14ac:dyDescent="0.3">
      <c r="A66" s="3" t="s">
        <v>28</v>
      </c>
      <c r="B66" s="5" t="s">
        <v>39</v>
      </c>
      <c r="C66" s="39">
        <v>21</v>
      </c>
      <c r="D66" s="39">
        <v>17</v>
      </c>
      <c r="E66" s="39">
        <v>176413.7</v>
      </c>
      <c r="F66" s="39">
        <v>1</v>
      </c>
      <c r="G66" s="39">
        <v>176413.7</v>
      </c>
      <c r="H66" s="39">
        <v>220733</v>
      </c>
      <c r="I66" s="40">
        <v>0.97499999999999998</v>
      </c>
      <c r="J66" s="40">
        <v>0.98650000000000004</v>
      </c>
      <c r="K66" s="6">
        <v>44805</v>
      </c>
      <c r="L66" s="51" t="s">
        <v>4</v>
      </c>
    </row>
    <row r="67" spans="1:12" x14ac:dyDescent="0.3">
      <c r="A67" s="3" t="s">
        <v>28</v>
      </c>
      <c r="B67" s="5" t="s">
        <v>40</v>
      </c>
      <c r="C67" s="39">
        <v>13</v>
      </c>
      <c r="D67" s="39">
        <v>11</v>
      </c>
      <c r="E67" s="39">
        <v>236889</v>
      </c>
      <c r="F67" s="39">
        <v>1</v>
      </c>
      <c r="G67" s="39">
        <v>236889</v>
      </c>
      <c r="H67" s="39">
        <v>258240</v>
      </c>
      <c r="I67" s="40">
        <v>0.98</v>
      </c>
      <c r="J67" s="40"/>
      <c r="K67" s="6">
        <v>44805</v>
      </c>
      <c r="L67" s="52"/>
    </row>
    <row r="68" spans="1:12" x14ac:dyDescent="0.3">
      <c r="A68" s="3" t="s">
        <v>28</v>
      </c>
      <c r="B68" s="5" t="s">
        <v>41</v>
      </c>
      <c r="C68" s="39">
        <v>14</v>
      </c>
      <c r="D68" s="39">
        <v>12</v>
      </c>
      <c r="E68" s="39">
        <v>64203</v>
      </c>
      <c r="F68" s="39">
        <v>4.8</v>
      </c>
      <c r="G68" s="39">
        <v>308174.39999999997</v>
      </c>
      <c r="H68" s="39">
        <v>317181.2</v>
      </c>
      <c r="I68" s="40">
        <v>0.94799999999999995</v>
      </c>
      <c r="J68" s="40"/>
      <c r="K68" s="6">
        <v>44805</v>
      </c>
      <c r="L68" s="52"/>
    </row>
    <row r="69" spans="1:12" x14ac:dyDescent="0.3">
      <c r="A69" s="3" t="s">
        <v>28</v>
      </c>
      <c r="B69" s="5" t="s">
        <v>42</v>
      </c>
      <c r="C69" s="39">
        <v>5</v>
      </c>
      <c r="D69" s="39"/>
      <c r="E69" s="39"/>
      <c r="F69" s="39"/>
      <c r="G69" s="39"/>
      <c r="H69" s="39"/>
      <c r="I69" s="40"/>
      <c r="J69" s="40"/>
      <c r="K69" s="6">
        <v>44805</v>
      </c>
      <c r="L69" s="52"/>
    </row>
    <row r="70" spans="1:12" x14ac:dyDescent="0.3">
      <c r="A70" s="3" t="s">
        <v>29</v>
      </c>
      <c r="B70" s="5" t="s">
        <v>43</v>
      </c>
      <c r="C70" s="39">
        <v>18</v>
      </c>
      <c r="D70" s="39">
        <v>16</v>
      </c>
      <c r="E70" s="39">
        <v>210008</v>
      </c>
      <c r="F70" s="39">
        <v>1</v>
      </c>
      <c r="G70" s="39">
        <v>210008</v>
      </c>
      <c r="H70" s="39">
        <v>214407.76</v>
      </c>
      <c r="I70" s="40">
        <v>0.95333333333333325</v>
      </c>
      <c r="J70" s="40">
        <v>0.996</v>
      </c>
      <c r="K70" s="6">
        <v>44805</v>
      </c>
      <c r="L70" s="51"/>
    </row>
    <row r="71" spans="1:12" x14ac:dyDescent="0.3">
      <c r="A71" s="3" t="s">
        <v>29</v>
      </c>
      <c r="B71" s="5" t="s">
        <v>44</v>
      </c>
      <c r="C71" s="39">
        <v>12</v>
      </c>
      <c r="D71" s="39">
        <v>10</v>
      </c>
      <c r="E71" s="39">
        <v>6340</v>
      </c>
      <c r="F71" s="39">
        <v>33.1</v>
      </c>
      <c r="G71" s="39">
        <v>209854</v>
      </c>
      <c r="H71" s="39">
        <v>247090.5</v>
      </c>
      <c r="I71" s="40">
        <v>0.98376666666666657</v>
      </c>
      <c r="J71" s="40">
        <v>0.99890000000000001</v>
      </c>
      <c r="K71" s="6">
        <v>44805</v>
      </c>
      <c r="L71" s="51" t="s">
        <v>5</v>
      </c>
    </row>
    <row r="72" spans="1:12" x14ac:dyDescent="0.3">
      <c r="A72" s="3" t="s">
        <v>29</v>
      </c>
      <c r="B72" s="5" t="s">
        <v>45</v>
      </c>
      <c r="C72" s="39">
        <v>30</v>
      </c>
      <c r="D72" s="39">
        <v>25</v>
      </c>
      <c r="E72" s="39">
        <v>459489</v>
      </c>
      <c r="F72" s="39">
        <v>1</v>
      </c>
      <c r="G72" s="39">
        <v>459489</v>
      </c>
      <c r="H72" s="39">
        <v>485561.59999999998</v>
      </c>
      <c r="I72" s="40">
        <v>0.9664666666666667</v>
      </c>
      <c r="J72" s="40">
        <v>0.9919</v>
      </c>
      <c r="K72" s="6">
        <v>44805</v>
      </c>
      <c r="L72" s="51"/>
    </row>
    <row r="73" spans="1:12" x14ac:dyDescent="0.3">
      <c r="A73" s="3" t="s">
        <v>29</v>
      </c>
      <c r="B73" s="5" t="s">
        <v>46</v>
      </c>
      <c r="C73" s="39">
        <v>27</v>
      </c>
      <c r="D73" s="39">
        <v>23</v>
      </c>
      <c r="E73" s="39">
        <v>162810</v>
      </c>
      <c r="F73" s="39">
        <v>3.32</v>
      </c>
      <c r="G73" s="39">
        <v>540529.19999999995</v>
      </c>
      <c r="H73" s="39">
        <v>552123.31999999995</v>
      </c>
      <c r="I73" s="40">
        <v>0.96879999999999988</v>
      </c>
      <c r="J73" s="40">
        <v>0.95099999999999996</v>
      </c>
      <c r="K73" s="6">
        <v>44805</v>
      </c>
      <c r="L73" s="51"/>
    </row>
    <row r="74" spans="1:12" x14ac:dyDescent="0.3">
      <c r="A74" s="3" t="s">
        <v>29</v>
      </c>
      <c r="B74" s="5" t="s">
        <v>47</v>
      </c>
      <c r="C74" s="39">
        <v>10</v>
      </c>
      <c r="D74" s="39">
        <v>8</v>
      </c>
      <c r="E74" s="39">
        <v>152269</v>
      </c>
      <c r="F74" s="39">
        <v>1</v>
      </c>
      <c r="G74" s="39">
        <v>152269</v>
      </c>
      <c r="H74" s="39">
        <v>167501</v>
      </c>
      <c r="I74" s="40">
        <v>0.97866666666666668</v>
      </c>
      <c r="J74" s="40">
        <v>0.96499999999999997</v>
      </c>
      <c r="K74" s="6">
        <v>44805</v>
      </c>
      <c r="L74" s="51"/>
    </row>
    <row r="75" spans="1:12" x14ac:dyDescent="0.3">
      <c r="A75" s="3" t="s">
        <v>29</v>
      </c>
      <c r="B75" s="5" t="s">
        <v>48</v>
      </c>
      <c r="C75" s="39">
        <v>24</v>
      </c>
      <c r="D75" s="39">
        <v>22</v>
      </c>
      <c r="E75" s="39">
        <v>450920</v>
      </c>
      <c r="F75" s="39">
        <v>1</v>
      </c>
      <c r="G75" s="39">
        <v>450920</v>
      </c>
      <c r="H75" s="39">
        <v>531246.6</v>
      </c>
      <c r="I75" s="40">
        <v>0.95</v>
      </c>
      <c r="J75" s="40"/>
      <c r="K75" s="6">
        <v>44805</v>
      </c>
      <c r="L75" s="51" t="s">
        <v>1</v>
      </c>
    </row>
    <row r="76" spans="1:12" x14ac:dyDescent="0.3">
      <c r="A76" s="3" t="s">
        <v>29</v>
      </c>
      <c r="B76" s="5" t="s">
        <v>49</v>
      </c>
      <c r="C76" s="39">
        <v>7</v>
      </c>
      <c r="D76" s="39"/>
      <c r="E76" s="39"/>
      <c r="F76" s="39"/>
      <c r="G76" s="39"/>
      <c r="H76" s="39"/>
      <c r="I76" s="40"/>
      <c r="J76" s="40"/>
      <c r="K76" s="6">
        <v>44805</v>
      </c>
      <c r="L76" s="52"/>
    </row>
    <row r="77" spans="1:12" x14ac:dyDescent="0.3">
      <c r="A77" s="3" t="s">
        <v>29</v>
      </c>
      <c r="B77" s="5" t="s">
        <v>50</v>
      </c>
      <c r="C77" s="39">
        <v>5</v>
      </c>
      <c r="D77" s="39"/>
      <c r="E77" s="39"/>
      <c r="F77" s="39"/>
      <c r="G77" s="39"/>
      <c r="H77" s="39"/>
      <c r="I77" s="40"/>
      <c r="J77" s="40"/>
      <c r="K77" s="6">
        <v>44805</v>
      </c>
      <c r="L77" s="52"/>
    </row>
    <row r="78" spans="1:12" x14ac:dyDescent="0.3">
      <c r="A78" s="3" t="s">
        <v>29</v>
      </c>
      <c r="B78" s="5" t="s">
        <v>42</v>
      </c>
      <c r="C78" s="39">
        <v>4</v>
      </c>
      <c r="D78" s="39"/>
      <c r="E78" s="39"/>
      <c r="F78" s="39"/>
      <c r="G78" s="39"/>
      <c r="H78" s="39"/>
      <c r="I78" s="40"/>
      <c r="J78" s="40"/>
      <c r="K78" s="6">
        <v>44805</v>
      </c>
      <c r="L78" s="52"/>
    </row>
    <row r="79" spans="1:12" x14ac:dyDescent="0.3">
      <c r="A79" s="3" t="s">
        <v>30</v>
      </c>
      <c r="B79" s="8" t="s">
        <v>51</v>
      </c>
      <c r="C79" s="39">
        <v>46</v>
      </c>
      <c r="D79" s="39">
        <v>28</v>
      </c>
      <c r="E79" s="39">
        <v>676108.93</v>
      </c>
      <c r="F79" s="39">
        <v>1</v>
      </c>
      <c r="G79" s="39">
        <v>676108.93</v>
      </c>
      <c r="H79" s="39">
        <v>726342</v>
      </c>
      <c r="I79" s="40">
        <v>0.95</v>
      </c>
      <c r="J79" s="40">
        <v>0.95569999999999999</v>
      </c>
      <c r="K79" s="6">
        <v>44805</v>
      </c>
      <c r="L79" s="51"/>
    </row>
    <row r="80" spans="1:12" x14ac:dyDescent="0.3">
      <c r="A80" s="3" t="s">
        <v>30</v>
      </c>
      <c r="B80" s="8" t="s">
        <v>70</v>
      </c>
      <c r="C80" s="39">
        <v>19</v>
      </c>
      <c r="D80" s="39">
        <v>10</v>
      </c>
      <c r="E80" s="39">
        <v>257294</v>
      </c>
      <c r="F80" s="39">
        <v>1</v>
      </c>
      <c r="G80" s="39">
        <v>257294</v>
      </c>
      <c r="H80" s="39">
        <v>263176</v>
      </c>
      <c r="I80" s="40">
        <v>0.96</v>
      </c>
      <c r="J80" s="40">
        <v>0.98</v>
      </c>
      <c r="K80" s="6">
        <v>44805</v>
      </c>
      <c r="L80" s="51"/>
    </row>
    <row r="81" spans="1:12" x14ac:dyDescent="0.3">
      <c r="A81" s="3" t="s">
        <v>30</v>
      </c>
      <c r="B81" s="8" t="s">
        <v>52</v>
      </c>
      <c r="C81" s="39">
        <v>5</v>
      </c>
      <c r="D81" s="39">
        <v>2</v>
      </c>
      <c r="E81" s="39">
        <v>36762</v>
      </c>
      <c r="F81" s="39">
        <v>1</v>
      </c>
      <c r="G81" s="39">
        <v>36762</v>
      </c>
      <c r="H81" s="39">
        <v>37545.449999999997</v>
      </c>
      <c r="I81" s="40">
        <v>0.95689999999999997</v>
      </c>
      <c r="J81" s="40">
        <v>0.9899077277970012</v>
      </c>
      <c r="K81" s="6">
        <v>44805</v>
      </c>
      <c r="L81" s="51"/>
    </row>
    <row r="82" spans="1:12" x14ac:dyDescent="0.3">
      <c r="A82" s="3" t="s">
        <v>30</v>
      </c>
      <c r="B82" s="8" t="s">
        <v>71</v>
      </c>
      <c r="C82" s="39">
        <v>32</v>
      </c>
      <c r="D82" s="39">
        <v>26</v>
      </c>
      <c r="E82" s="39">
        <v>543346</v>
      </c>
      <c r="F82" s="39">
        <v>1</v>
      </c>
      <c r="G82" s="39">
        <v>543346</v>
      </c>
      <c r="H82" s="39">
        <v>500806.29</v>
      </c>
      <c r="I82" s="40">
        <v>0.97740000000000005</v>
      </c>
      <c r="J82" s="40">
        <v>0.99990000000000001</v>
      </c>
      <c r="K82" s="6">
        <v>44805</v>
      </c>
      <c r="L82" s="51"/>
    </row>
    <row r="83" spans="1:12" x14ac:dyDescent="0.3">
      <c r="A83" s="3" t="s">
        <v>30</v>
      </c>
      <c r="B83" s="8" t="s">
        <v>53</v>
      </c>
      <c r="C83" s="39">
        <v>15</v>
      </c>
      <c r="D83" s="39">
        <v>5</v>
      </c>
      <c r="E83" s="39">
        <v>91122.37</v>
      </c>
      <c r="F83" s="39">
        <v>1</v>
      </c>
      <c r="G83" s="39">
        <v>91122.37</v>
      </c>
      <c r="H83" s="39">
        <v>95336.31</v>
      </c>
      <c r="I83" s="40">
        <v>0.96</v>
      </c>
      <c r="J83" s="40"/>
      <c r="K83" s="6">
        <v>44805</v>
      </c>
      <c r="L83" s="51"/>
    </row>
    <row r="84" spans="1:12" x14ac:dyDescent="0.3">
      <c r="A84" s="3" t="s">
        <v>30</v>
      </c>
      <c r="B84" s="8" t="s">
        <v>54</v>
      </c>
      <c r="C84" s="39">
        <v>3</v>
      </c>
      <c r="D84" s="39">
        <v>2</v>
      </c>
      <c r="E84" s="39">
        <v>50201.16</v>
      </c>
      <c r="F84" s="39">
        <v>1</v>
      </c>
      <c r="G84" s="39">
        <v>50201.16</v>
      </c>
      <c r="H84" s="39">
        <v>51633.11</v>
      </c>
      <c r="I84" s="40">
        <v>0.98</v>
      </c>
      <c r="J84" s="40"/>
      <c r="K84" s="6">
        <v>44805</v>
      </c>
      <c r="L84" s="51"/>
    </row>
    <row r="85" spans="1:12" x14ac:dyDescent="0.3">
      <c r="A85" s="3" t="s">
        <v>30</v>
      </c>
      <c r="B85" s="8" t="s">
        <v>55</v>
      </c>
      <c r="C85" s="41">
        <v>4</v>
      </c>
      <c r="D85" s="41"/>
      <c r="E85" s="41"/>
      <c r="F85" s="41"/>
      <c r="G85" s="41"/>
      <c r="H85" s="41"/>
      <c r="I85" s="42"/>
      <c r="J85" s="42"/>
      <c r="K85" s="6">
        <v>44805</v>
      </c>
      <c r="L85" s="52"/>
    </row>
    <row r="86" spans="1:12" x14ac:dyDescent="0.3">
      <c r="A86" s="3" t="s">
        <v>28</v>
      </c>
      <c r="B86" s="5" t="s">
        <v>31</v>
      </c>
      <c r="C86" s="41">
        <v>92</v>
      </c>
      <c r="D86" s="41">
        <v>75</v>
      </c>
      <c r="E86" s="41">
        <v>27433</v>
      </c>
      <c r="F86" s="41">
        <v>53</v>
      </c>
      <c r="G86" s="41">
        <f>E86*F86</f>
        <v>1453949</v>
      </c>
      <c r="H86" s="43">
        <v>1622069</v>
      </c>
      <c r="I86" s="42">
        <v>0.96599999999999997</v>
      </c>
      <c r="J86" s="42">
        <v>0.97</v>
      </c>
      <c r="K86" s="6">
        <v>44896</v>
      </c>
      <c r="L86" s="52"/>
    </row>
    <row r="87" spans="1:12" x14ac:dyDescent="0.3">
      <c r="A87" s="3" t="s">
        <v>28</v>
      </c>
      <c r="B87" s="5" t="s">
        <v>32</v>
      </c>
      <c r="C87" s="41">
        <v>14</v>
      </c>
      <c r="D87" s="41">
        <v>14</v>
      </c>
      <c r="E87" s="41">
        <v>5934</v>
      </c>
      <c r="F87" s="41">
        <v>48</v>
      </c>
      <c r="G87" s="41">
        <f>E87*F87</f>
        <v>284832</v>
      </c>
      <c r="H87" s="43">
        <v>331836</v>
      </c>
      <c r="I87" s="42">
        <v>0.96799999999999997</v>
      </c>
      <c r="J87" s="42">
        <v>0.93</v>
      </c>
      <c r="K87" s="6">
        <v>44896</v>
      </c>
      <c r="L87" s="52"/>
    </row>
    <row r="88" spans="1:12" x14ac:dyDescent="0.3">
      <c r="A88" s="3" t="s">
        <v>28</v>
      </c>
      <c r="B88" s="5" t="s">
        <v>33</v>
      </c>
      <c r="C88" s="41">
        <v>18</v>
      </c>
      <c r="D88" s="41">
        <v>15</v>
      </c>
      <c r="E88" s="41">
        <v>303522</v>
      </c>
      <c r="F88" s="41">
        <v>1</v>
      </c>
      <c r="G88" s="41">
        <f>E88*F88</f>
        <v>303522</v>
      </c>
      <c r="H88" s="43">
        <v>305798</v>
      </c>
      <c r="I88" s="42">
        <v>0.97799999999999998</v>
      </c>
      <c r="J88" s="42">
        <v>0.82</v>
      </c>
      <c r="K88" s="6">
        <v>44896</v>
      </c>
      <c r="L88" s="52"/>
    </row>
    <row r="89" spans="1:12" x14ac:dyDescent="0.3">
      <c r="A89" s="3" t="s">
        <v>28</v>
      </c>
      <c r="B89" s="5" t="s">
        <v>34</v>
      </c>
      <c r="C89" s="41">
        <v>43</v>
      </c>
      <c r="D89" s="41">
        <v>32</v>
      </c>
      <c r="E89" s="41">
        <v>9375</v>
      </c>
      <c r="F89" s="41">
        <v>53</v>
      </c>
      <c r="G89" s="41">
        <f>E89*F89</f>
        <v>496875</v>
      </c>
      <c r="H89" s="43">
        <v>572184</v>
      </c>
      <c r="I89" s="42">
        <v>0.96</v>
      </c>
      <c r="J89" s="42">
        <v>0.97</v>
      </c>
      <c r="K89" s="6">
        <v>44896</v>
      </c>
      <c r="L89" s="53" t="s">
        <v>6</v>
      </c>
    </row>
    <row r="90" spans="1:12" x14ac:dyDescent="0.3">
      <c r="A90" s="3" t="s">
        <v>28</v>
      </c>
      <c r="B90" s="5" t="s">
        <v>35</v>
      </c>
      <c r="C90" s="41">
        <v>33</v>
      </c>
      <c r="D90" s="41">
        <v>27</v>
      </c>
      <c r="E90" s="41">
        <v>12620</v>
      </c>
      <c r="F90" s="41">
        <v>34</v>
      </c>
      <c r="G90" s="41">
        <f>E90*F90</f>
        <v>429080</v>
      </c>
      <c r="H90" s="43">
        <v>502236</v>
      </c>
      <c r="I90" s="42">
        <v>0.96099999999999997</v>
      </c>
      <c r="J90" s="42">
        <v>0.97</v>
      </c>
      <c r="K90" s="6">
        <v>44896</v>
      </c>
      <c r="L90" s="53" t="s">
        <v>6</v>
      </c>
    </row>
    <row r="91" spans="1:12" x14ac:dyDescent="0.3">
      <c r="A91" s="3" t="s">
        <v>28</v>
      </c>
      <c r="B91" s="5" t="s">
        <v>36</v>
      </c>
      <c r="C91" s="41">
        <v>43</v>
      </c>
      <c r="D91" s="41">
        <v>34</v>
      </c>
      <c r="E91" s="41">
        <v>13185</v>
      </c>
      <c r="F91" s="41">
        <f>480/11</f>
        <v>43.636363636363633</v>
      </c>
      <c r="G91" s="41">
        <f>E91*F91</f>
        <v>575345.45454545447</v>
      </c>
      <c r="H91" s="43">
        <v>696896.27272727271</v>
      </c>
      <c r="I91" s="42">
        <v>0.95860000000000001</v>
      </c>
      <c r="J91" s="42">
        <v>0.97729999999999995</v>
      </c>
      <c r="K91" s="6">
        <v>44896</v>
      </c>
      <c r="L91" s="53" t="s">
        <v>6</v>
      </c>
    </row>
    <row r="92" spans="1:12" x14ac:dyDescent="0.3">
      <c r="A92" s="3" t="s">
        <v>28</v>
      </c>
      <c r="B92" s="5" t="s">
        <v>37</v>
      </c>
      <c r="C92" s="41">
        <v>17</v>
      </c>
      <c r="D92" s="41">
        <v>15</v>
      </c>
      <c r="E92" s="41">
        <v>3305</v>
      </c>
      <c r="F92" s="41">
        <v>44</v>
      </c>
      <c r="G92" s="41">
        <f>E92*F92</f>
        <v>145420</v>
      </c>
      <c r="H92" s="43">
        <v>164280</v>
      </c>
      <c r="I92" s="42">
        <v>0.97</v>
      </c>
      <c r="J92" s="42">
        <v>0.99</v>
      </c>
      <c r="K92" s="6">
        <v>44896</v>
      </c>
      <c r="L92" s="54"/>
    </row>
    <row r="93" spans="1:12" x14ac:dyDescent="0.3">
      <c r="A93" s="3" t="s">
        <v>28</v>
      </c>
      <c r="B93" s="5" t="s">
        <v>38</v>
      </c>
      <c r="C93" s="41">
        <v>12</v>
      </c>
      <c r="D93" s="41">
        <v>10</v>
      </c>
      <c r="E93" s="41">
        <v>6539.5020000000031</v>
      </c>
      <c r="F93" s="41">
        <f>480/15</f>
        <v>32</v>
      </c>
      <c r="G93" s="41">
        <f>E93*F93</f>
        <v>209264.0640000001</v>
      </c>
      <c r="H93" s="43">
        <v>232518.79199999999</v>
      </c>
      <c r="I93" s="42">
        <v>0.9526</v>
      </c>
      <c r="J93" s="42">
        <v>0.9123</v>
      </c>
      <c r="K93" s="6">
        <v>44896</v>
      </c>
      <c r="L93" s="55" t="s">
        <v>7</v>
      </c>
    </row>
    <row r="94" spans="1:12" x14ac:dyDescent="0.3">
      <c r="A94" s="3" t="s">
        <v>28</v>
      </c>
      <c r="B94" s="5" t="s">
        <v>39</v>
      </c>
      <c r="C94" s="41">
        <v>21</v>
      </c>
      <c r="D94" s="41">
        <v>18</v>
      </c>
      <c r="E94" s="41">
        <v>292810</v>
      </c>
      <c r="F94" s="41">
        <v>1</v>
      </c>
      <c r="G94" s="41">
        <f>E94*F94</f>
        <v>292810</v>
      </c>
      <c r="H94" s="43">
        <v>337107</v>
      </c>
      <c r="I94" s="42">
        <v>0.97</v>
      </c>
      <c r="J94" s="42">
        <v>0.99319999999999997</v>
      </c>
      <c r="K94" s="6">
        <v>44896</v>
      </c>
      <c r="L94" s="55" t="s">
        <v>8</v>
      </c>
    </row>
    <row r="95" spans="1:12" x14ac:dyDescent="0.3">
      <c r="A95" s="3" t="s">
        <v>28</v>
      </c>
      <c r="B95" s="5" t="s">
        <v>40</v>
      </c>
      <c r="C95" s="41">
        <v>15</v>
      </c>
      <c r="D95" s="41">
        <v>12</v>
      </c>
      <c r="E95" s="41">
        <v>253285</v>
      </c>
      <c r="F95" s="41">
        <v>1</v>
      </c>
      <c r="G95" s="41">
        <f>E95*F95</f>
        <v>253285</v>
      </c>
      <c r="H95" s="43">
        <v>256575</v>
      </c>
      <c r="I95" s="42">
        <v>0.97</v>
      </c>
      <c r="J95" s="42"/>
      <c r="K95" s="6">
        <v>44896</v>
      </c>
      <c r="L95" s="52"/>
    </row>
    <row r="96" spans="1:12" x14ac:dyDescent="0.3">
      <c r="A96" s="3" t="s">
        <v>28</v>
      </c>
      <c r="B96" s="5" t="s">
        <v>41</v>
      </c>
      <c r="C96" s="41">
        <v>15</v>
      </c>
      <c r="D96" s="41">
        <v>14</v>
      </c>
      <c r="E96" s="41">
        <v>62834</v>
      </c>
      <c r="F96" s="41">
        <v>5</v>
      </c>
      <c r="G96" s="41">
        <f>E96*F96</f>
        <v>314170</v>
      </c>
      <c r="H96" s="43">
        <v>322086</v>
      </c>
      <c r="I96" s="42">
        <v>0.94</v>
      </c>
      <c r="J96" s="42"/>
      <c r="K96" s="6">
        <v>44896</v>
      </c>
      <c r="L96" s="52"/>
    </row>
    <row r="97" spans="1:12" x14ac:dyDescent="0.3">
      <c r="A97" s="3" t="s">
        <v>28</v>
      </c>
      <c r="B97" s="5" t="s">
        <v>42</v>
      </c>
      <c r="C97" s="41"/>
      <c r="D97" s="41"/>
      <c r="E97" s="41"/>
      <c r="F97" s="41"/>
      <c r="G97" s="41"/>
      <c r="H97" s="43"/>
      <c r="I97" s="42"/>
      <c r="J97" s="42"/>
      <c r="K97" s="6">
        <v>44896</v>
      </c>
      <c r="L97" s="52"/>
    </row>
    <row r="98" spans="1:12" x14ac:dyDescent="0.3">
      <c r="A98" s="3" t="s">
        <v>29</v>
      </c>
      <c r="B98" s="5" t="s">
        <v>43</v>
      </c>
      <c r="C98" s="41">
        <v>18</v>
      </c>
      <c r="D98" s="41">
        <v>15</v>
      </c>
      <c r="E98" s="41">
        <v>241353</v>
      </c>
      <c r="F98" s="41">
        <v>1</v>
      </c>
      <c r="G98" s="41">
        <f>E98*F98</f>
        <v>241353</v>
      </c>
      <c r="H98" s="43">
        <v>278330</v>
      </c>
      <c r="I98" s="42">
        <v>0.96699999999999997</v>
      </c>
      <c r="J98" s="42">
        <v>0.996</v>
      </c>
      <c r="K98" s="6">
        <v>44896</v>
      </c>
      <c r="L98" s="54" t="s">
        <v>9</v>
      </c>
    </row>
    <row r="99" spans="1:12" ht="15" x14ac:dyDescent="0.3">
      <c r="A99" s="3" t="s">
        <v>29</v>
      </c>
      <c r="B99" s="5" t="s">
        <v>44</v>
      </c>
      <c r="C99" s="41">
        <v>12</v>
      </c>
      <c r="D99" s="41">
        <v>10</v>
      </c>
      <c r="E99" s="44">
        <v>3188</v>
      </c>
      <c r="F99" s="41">
        <v>48.6</v>
      </c>
      <c r="G99" s="41">
        <f>E99*F99</f>
        <v>154936.80000000002</v>
      </c>
      <c r="H99" s="45">
        <v>178115.16</v>
      </c>
      <c r="I99" s="42">
        <v>0.97699999999999998</v>
      </c>
      <c r="J99" s="42">
        <v>0.99</v>
      </c>
      <c r="K99" s="6">
        <v>44896</v>
      </c>
      <c r="L99" s="54" t="s">
        <v>10</v>
      </c>
    </row>
    <row r="100" spans="1:12" ht="15" x14ac:dyDescent="0.3">
      <c r="A100" s="3" t="s">
        <v>29</v>
      </c>
      <c r="B100" s="5" t="s">
        <v>45</v>
      </c>
      <c r="C100" s="41">
        <v>31</v>
      </c>
      <c r="D100" s="41">
        <v>26</v>
      </c>
      <c r="E100" s="41">
        <v>536931</v>
      </c>
      <c r="F100" s="41">
        <v>1</v>
      </c>
      <c r="G100" s="41">
        <f>E100*F100</f>
        <v>536931</v>
      </c>
      <c r="H100" s="45">
        <v>546058.20000000007</v>
      </c>
      <c r="I100" s="42">
        <v>0.96699999999999997</v>
      </c>
      <c r="J100" s="42">
        <v>0.98199999999999998</v>
      </c>
      <c r="K100" s="6">
        <v>44896</v>
      </c>
      <c r="L100" s="52"/>
    </row>
    <row r="101" spans="1:12" ht="15" x14ac:dyDescent="0.3">
      <c r="A101" s="3" t="s">
        <v>29</v>
      </c>
      <c r="B101" s="5" t="s">
        <v>46</v>
      </c>
      <c r="C101" s="41">
        <v>27</v>
      </c>
      <c r="D101" s="41">
        <v>23</v>
      </c>
      <c r="E101" s="41">
        <v>128458.1</v>
      </c>
      <c r="F101" s="41">
        <v>4.2</v>
      </c>
      <c r="G101" s="41">
        <f>E101*F101</f>
        <v>539524.02</v>
      </c>
      <c r="H101" s="45">
        <v>550489.92000000004</v>
      </c>
      <c r="I101" s="42">
        <v>0.96499999999999997</v>
      </c>
      <c r="J101" s="42">
        <v>0.96</v>
      </c>
      <c r="K101" s="6">
        <v>44896</v>
      </c>
      <c r="L101" s="52"/>
    </row>
    <row r="102" spans="1:12" ht="15" x14ac:dyDescent="0.3">
      <c r="A102" s="3" t="s">
        <v>29</v>
      </c>
      <c r="B102" s="5" t="s">
        <v>47</v>
      </c>
      <c r="C102" s="41">
        <v>12</v>
      </c>
      <c r="D102" s="41">
        <v>10</v>
      </c>
      <c r="E102" s="41">
        <v>209270</v>
      </c>
      <c r="F102" s="41">
        <v>1</v>
      </c>
      <c r="G102" s="41">
        <f>E102*F102</f>
        <v>209270</v>
      </c>
      <c r="H102" s="45">
        <v>216583.8</v>
      </c>
      <c r="I102" s="42">
        <v>0.96399999999999997</v>
      </c>
      <c r="J102" s="42">
        <v>0.95399999999999996</v>
      </c>
      <c r="K102" s="6">
        <v>44896</v>
      </c>
      <c r="L102" s="52"/>
    </row>
    <row r="103" spans="1:12" ht="15" x14ac:dyDescent="0.3">
      <c r="A103" s="3" t="s">
        <v>29</v>
      </c>
      <c r="B103" s="5" t="s">
        <v>48</v>
      </c>
      <c r="C103" s="41">
        <v>24</v>
      </c>
      <c r="D103" s="41">
        <v>22</v>
      </c>
      <c r="E103" s="44">
        <v>481822</v>
      </c>
      <c r="F103" s="41">
        <v>1</v>
      </c>
      <c r="G103" s="41">
        <v>481822</v>
      </c>
      <c r="H103" s="45">
        <v>470954</v>
      </c>
      <c r="I103" s="42">
        <v>0.95299999999999996</v>
      </c>
      <c r="J103" s="42"/>
      <c r="K103" s="6">
        <v>44896</v>
      </c>
      <c r="L103" s="52"/>
    </row>
    <row r="104" spans="1:12" x14ac:dyDescent="0.3">
      <c r="A104" s="3" t="s">
        <v>29</v>
      </c>
      <c r="B104" s="5" t="s">
        <v>49</v>
      </c>
      <c r="C104" s="41">
        <v>7</v>
      </c>
      <c r="D104" s="41">
        <v>0</v>
      </c>
      <c r="E104" s="41"/>
      <c r="F104" s="41"/>
      <c r="G104" s="41"/>
      <c r="H104" s="43"/>
      <c r="I104" s="42"/>
      <c r="J104" s="42"/>
      <c r="K104" s="6">
        <v>44896</v>
      </c>
      <c r="L104" s="52"/>
    </row>
    <row r="105" spans="1:12" x14ac:dyDescent="0.3">
      <c r="A105" s="3" t="s">
        <v>29</v>
      </c>
      <c r="B105" s="5" t="s">
        <v>50</v>
      </c>
      <c r="C105" s="41">
        <v>5</v>
      </c>
      <c r="D105" s="41">
        <v>0</v>
      </c>
      <c r="E105" s="41"/>
      <c r="F105" s="41"/>
      <c r="G105" s="41"/>
      <c r="H105" s="43"/>
      <c r="I105" s="42"/>
      <c r="J105" s="42"/>
      <c r="K105" s="6">
        <v>44896</v>
      </c>
      <c r="L105" s="52"/>
    </row>
    <row r="106" spans="1:12" x14ac:dyDescent="0.3">
      <c r="A106" s="3" t="s">
        <v>29</v>
      </c>
      <c r="B106" s="5" t="s">
        <v>42</v>
      </c>
      <c r="C106" s="41">
        <v>4</v>
      </c>
      <c r="D106" s="41">
        <v>0</v>
      </c>
      <c r="E106" s="41"/>
      <c r="F106" s="41"/>
      <c r="G106" s="41"/>
      <c r="H106" s="43"/>
      <c r="I106" s="42"/>
      <c r="J106" s="42"/>
      <c r="K106" s="6">
        <v>44896</v>
      </c>
      <c r="L106" s="52"/>
    </row>
    <row r="107" spans="1:12" x14ac:dyDescent="0.3">
      <c r="A107" s="3" t="s">
        <v>30</v>
      </c>
      <c r="B107" s="8" t="s">
        <v>51</v>
      </c>
      <c r="C107" s="41">
        <v>47</v>
      </c>
      <c r="D107" s="41">
        <v>38</v>
      </c>
      <c r="E107" s="41">
        <v>890546.98</v>
      </c>
      <c r="F107" s="41">
        <v>1</v>
      </c>
      <c r="G107" s="41">
        <f>E107*F107</f>
        <v>890546.98</v>
      </c>
      <c r="H107" s="43">
        <v>887563</v>
      </c>
      <c r="I107" s="46">
        <v>0.96</v>
      </c>
      <c r="J107" s="46">
        <v>0.95</v>
      </c>
      <c r="K107" s="6">
        <v>44896</v>
      </c>
      <c r="L107" s="52"/>
    </row>
    <row r="108" spans="1:12" x14ac:dyDescent="0.3">
      <c r="A108" s="3" t="s">
        <v>30</v>
      </c>
      <c r="B108" s="8" t="s">
        <v>70</v>
      </c>
      <c r="C108" s="41">
        <v>22</v>
      </c>
      <c r="D108" s="41">
        <v>19</v>
      </c>
      <c r="E108" s="41">
        <v>457536</v>
      </c>
      <c r="F108" s="41">
        <v>1</v>
      </c>
      <c r="G108" s="41">
        <f>E108*F108</f>
        <v>457536</v>
      </c>
      <c r="H108" s="43">
        <v>462787</v>
      </c>
      <c r="I108" s="46">
        <v>0.96</v>
      </c>
      <c r="J108" s="46">
        <v>0.99</v>
      </c>
      <c r="K108" s="6">
        <v>44896</v>
      </c>
      <c r="L108" s="52"/>
    </row>
    <row r="109" spans="1:12" x14ac:dyDescent="0.3">
      <c r="A109" s="3" t="s">
        <v>30</v>
      </c>
      <c r="B109" s="8" t="s">
        <v>52</v>
      </c>
      <c r="C109" s="41">
        <v>7</v>
      </c>
      <c r="D109" s="41">
        <v>6</v>
      </c>
      <c r="E109" s="41">
        <v>129795</v>
      </c>
      <c r="F109" s="41">
        <v>1</v>
      </c>
      <c r="G109" s="41">
        <f>E109*F109</f>
        <v>129795</v>
      </c>
      <c r="H109" s="43">
        <v>139984</v>
      </c>
      <c r="I109" s="46">
        <v>0.93159999999999998</v>
      </c>
      <c r="J109" s="46">
        <v>0.98899999999999999</v>
      </c>
      <c r="K109" s="6">
        <v>44896</v>
      </c>
      <c r="L109" s="54" t="s">
        <v>11</v>
      </c>
    </row>
    <row r="110" spans="1:12" x14ac:dyDescent="0.3">
      <c r="A110" s="3" t="s">
        <v>30</v>
      </c>
      <c r="B110" s="8" t="s">
        <v>71</v>
      </c>
      <c r="C110" s="41">
        <v>32</v>
      </c>
      <c r="D110" s="41">
        <v>26</v>
      </c>
      <c r="E110" s="41">
        <v>499367.14285492001</v>
      </c>
      <c r="F110" s="41">
        <v>1</v>
      </c>
      <c r="G110" s="41">
        <f>E110*F110</f>
        <v>499367.14285492001</v>
      </c>
      <c r="H110" s="43">
        <v>466258.99999768002</v>
      </c>
      <c r="I110" s="46">
        <v>0.96419999999999995</v>
      </c>
      <c r="J110" s="46">
        <v>1</v>
      </c>
      <c r="K110" s="6">
        <v>44896</v>
      </c>
      <c r="L110" s="52"/>
    </row>
    <row r="111" spans="1:12" x14ac:dyDescent="0.3">
      <c r="A111" s="3" t="s">
        <v>30</v>
      </c>
      <c r="B111" s="8" t="s">
        <v>53</v>
      </c>
      <c r="C111" s="41">
        <v>16</v>
      </c>
      <c r="D111" s="41">
        <v>14</v>
      </c>
      <c r="E111" s="41">
        <v>365134.79</v>
      </c>
      <c r="F111" s="41">
        <v>1</v>
      </c>
      <c r="G111" s="41">
        <f>E111*F111</f>
        <v>365134.79</v>
      </c>
      <c r="H111" s="43">
        <v>372299</v>
      </c>
      <c r="I111" s="46">
        <v>0.96</v>
      </c>
      <c r="J111" s="46"/>
      <c r="K111" s="6">
        <v>44896</v>
      </c>
      <c r="L111" s="52"/>
    </row>
    <row r="112" spans="1:12" x14ac:dyDescent="0.3">
      <c r="A112" s="3" t="s">
        <v>30</v>
      </c>
      <c r="B112" s="8" t="s">
        <v>54</v>
      </c>
      <c r="C112" s="41">
        <v>3</v>
      </c>
      <c r="D112" s="41">
        <v>2</v>
      </c>
      <c r="E112" s="41">
        <v>27103</v>
      </c>
      <c r="F112" s="41">
        <v>1</v>
      </c>
      <c r="G112" s="41">
        <f>E112*F112</f>
        <v>27103</v>
      </c>
      <c r="H112" s="43">
        <v>27173</v>
      </c>
      <c r="I112" s="46">
        <v>0.95</v>
      </c>
      <c r="J112" s="46"/>
      <c r="K112" s="6">
        <v>44896</v>
      </c>
      <c r="L112" s="52"/>
    </row>
    <row r="113" spans="1:12" x14ac:dyDescent="0.3">
      <c r="A113" s="3" t="s">
        <v>30</v>
      </c>
      <c r="B113" s="8" t="s">
        <v>55</v>
      </c>
      <c r="C113" s="41">
        <v>4</v>
      </c>
      <c r="D113" s="41">
        <v>0</v>
      </c>
      <c r="E113" s="41"/>
      <c r="F113" s="41"/>
      <c r="G113" s="41"/>
      <c r="H113" s="43"/>
      <c r="I113" s="42"/>
      <c r="J113" s="42"/>
      <c r="K113" s="6">
        <v>44896</v>
      </c>
      <c r="L113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A6E0-E93B-43E5-8341-136F41122668}">
  <dimension ref="A1:L117"/>
  <sheetViews>
    <sheetView topLeftCell="A58" workbookViewId="0">
      <selection activeCell="G59" sqref="G59"/>
    </sheetView>
  </sheetViews>
  <sheetFormatPr defaultRowHeight="14.4" x14ac:dyDescent="0.3"/>
  <sheetData>
    <row r="1" spans="1:12" ht="100.8" x14ac:dyDescent="0.3">
      <c r="A1" s="33" t="s">
        <v>58</v>
      </c>
      <c r="B1" s="33" t="s">
        <v>59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  <c r="H1" s="34" t="s">
        <v>66</v>
      </c>
      <c r="I1" s="35" t="s">
        <v>65</v>
      </c>
      <c r="J1" s="35" t="s">
        <v>67</v>
      </c>
      <c r="K1" s="35" t="s">
        <v>68</v>
      </c>
      <c r="L1" s="4" t="s">
        <v>69</v>
      </c>
    </row>
    <row r="2" spans="1:12" x14ac:dyDescent="0.3">
      <c r="A2" s="3" t="s">
        <v>28</v>
      </c>
      <c r="B2" s="5" t="s">
        <v>31</v>
      </c>
      <c r="C2" s="10">
        <v>96</v>
      </c>
      <c r="D2" s="10">
        <v>79</v>
      </c>
      <c r="E2" s="47">
        <v>32668</v>
      </c>
      <c r="F2" s="10">
        <v>53</v>
      </c>
      <c r="G2" s="47">
        <v>1731427</v>
      </c>
      <c r="H2" s="47">
        <v>1868349</v>
      </c>
      <c r="I2" s="40">
        <v>0.96699999999999997</v>
      </c>
      <c r="J2" s="40">
        <v>0.97</v>
      </c>
      <c r="K2" s="6">
        <v>44986</v>
      </c>
      <c r="L2" s="7"/>
    </row>
    <row r="3" spans="1:12" x14ac:dyDescent="0.3">
      <c r="A3" s="3" t="s">
        <v>28</v>
      </c>
      <c r="B3" s="5" t="s">
        <v>32</v>
      </c>
      <c r="C3" s="10">
        <v>24</v>
      </c>
      <c r="D3" s="10">
        <v>21</v>
      </c>
      <c r="E3" s="47">
        <v>5657</v>
      </c>
      <c r="F3" s="10">
        <v>42</v>
      </c>
      <c r="G3" s="47">
        <v>237614</v>
      </c>
      <c r="H3" s="47">
        <v>296713</v>
      </c>
      <c r="I3" s="40">
        <v>0.96799999999999997</v>
      </c>
      <c r="J3" s="40">
        <v>0.93</v>
      </c>
      <c r="K3" s="6">
        <v>44986</v>
      </c>
      <c r="L3" s="7"/>
    </row>
    <row r="4" spans="1:12" x14ac:dyDescent="0.3">
      <c r="A4" s="3" t="s">
        <v>28</v>
      </c>
      <c r="B4" s="5" t="s">
        <v>33</v>
      </c>
      <c r="C4" s="10">
        <v>16</v>
      </c>
      <c r="D4" s="10">
        <v>13</v>
      </c>
      <c r="E4" s="47">
        <v>300142</v>
      </c>
      <c r="F4" s="10">
        <v>1</v>
      </c>
      <c r="G4" s="47">
        <v>300142</v>
      </c>
      <c r="H4" s="47">
        <v>304774</v>
      </c>
      <c r="I4" s="40">
        <v>0.98699999999999999</v>
      </c>
      <c r="J4" s="40">
        <v>0.96</v>
      </c>
      <c r="K4" s="6">
        <v>44986</v>
      </c>
      <c r="L4" s="7"/>
    </row>
    <row r="5" spans="1:12" x14ac:dyDescent="0.3">
      <c r="A5" s="3" t="s">
        <v>28</v>
      </c>
      <c r="B5" s="5" t="s">
        <v>34</v>
      </c>
      <c r="C5" s="10">
        <v>44</v>
      </c>
      <c r="D5" s="10">
        <v>35</v>
      </c>
      <c r="E5" s="47">
        <v>12661</v>
      </c>
      <c r="F5" s="10">
        <v>53</v>
      </c>
      <c r="G5" s="47">
        <v>671033</v>
      </c>
      <c r="H5" s="47">
        <v>572184</v>
      </c>
      <c r="I5" s="40">
        <v>0.95</v>
      </c>
      <c r="J5" s="40">
        <v>0.98</v>
      </c>
      <c r="K5" s="6">
        <v>44986</v>
      </c>
      <c r="L5" s="36" t="s">
        <v>12</v>
      </c>
    </row>
    <row r="6" spans="1:12" x14ac:dyDescent="0.3">
      <c r="A6" s="3" t="s">
        <v>28</v>
      </c>
      <c r="B6" s="5" t="s">
        <v>35</v>
      </c>
      <c r="C6" s="10">
        <v>33</v>
      </c>
      <c r="D6" s="10">
        <v>27</v>
      </c>
      <c r="E6" s="47">
        <v>14635</v>
      </c>
      <c r="F6" s="10">
        <v>34</v>
      </c>
      <c r="G6" s="47">
        <v>497590</v>
      </c>
      <c r="H6" s="47">
        <v>577614</v>
      </c>
      <c r="I6" s="40">
        <v>0.97099999999999997</v>
      </c>
      <c r="J6" s="40">
        <v>0.98</v>
      </c>
      <c r="K6" s="6">
        <v>44986</v>
      </c>
      <c r="L6" s="7"/>
    </row>
    <row r="7" spans="1:12" x14ac:dyDescent="0.3">
      <c r="A7" s="3" t="s">
        <v>28</v>
      </c>
      <c r="B7" s="5" t="s">
        <v>36</v>
      </c>
      <c r="C7" s="10">
        <v>48</v>
      </c>
      <c r="D7" s="10">
        <v>38</v>
      </c>
      <c r="E7" s="10">
        <v>16595</v>
      </c>
      <c r="F7" s="10">
        <v>44</v>
      </c>
      <c r="G7" s="47">
        <v>724145</v>
      </c>
      <c r="H7" s="47">
        <v>856364</v>
      </c>
      <c r="I7" s="40">
        <v>0.96699999999999997</v>
      </c>
      <c r="J7" s="40">
        <v>0.99</v>
      </c>
      <c r="K7" s="6">
        <v>44986</v>
      </c>
      <c r="L7" s="7"/>
    </row>
    <row r="8" spans="1:12" x14ac:dyDescent="0.3">
      <c r="A8" s="3" t="s">
        <v>28</v>
      </c>
      <c r="B8" s="5" t="s">
        <v>37</v>
      </c>
      <c r="C8" s="10">
        <v>14</v>
      </c>
      <c r="D8" s="10">
        <v>12</v>
      </c>
      <c r="E8" s="47">
        <v>3123</v>
      </c>
      <c r="F8" s="10">
        <v>44</v>
      </c>
      <c r="G8" s="47">
        <v>137412</v>
      </c>
      <c r="H8" s="47">
        <v>164280</v>
      </c>
      <c r="I8" s="40">
        <v>0.97</v>
      </c>
      <c r="J8" s="40">
        <v>0.99</v>
      </c>
      <c r="K8" s="6">
        <v>44986</v>
      </c>
      <c r="L8" s="7"/>
    </row>
    <row r="9" spans="1:12" x14ac:dyDescent="0.3">
      <c r="A9" s="3" t="s">
        <v>28</v>
      </c>
      <c r="B9" s="5" t="s">
        <v>38</v>
      </c>
      <c r="C9" s="10">
        <v>11</v>
      </c>
      <c r="D9" s="10">
        <v>9</v>
      </c>
      <c r="E9" s="47">
        <v>5081</v>
      </c>
      <c r="F9" s="10">
        <v>32</v>
      </c>
      <c r="G9" s="47">
        <v>162592</v>
      </c>
      <c r="H9" s="47">
        <v>187954</v>
      </c>
      <c r="I9" s="40">
        <v>0.97</v>
      </c>
      <c r="J9" s="40">
        <v>0.99</v>
      </c>
      <c r="K9" s="6">
        <v>44986</v>
      </c>
      <c r="L9" s="7"/>
    </row>
    <row r="10" spans="1:12" x14ac:dyDescent="0.3">
      <c r="A10" s="3" t="s">
        <v>28</v>
      </c>
      <c r="B10" s="5" t="s">
        <v>39</v>
      </c>
      <c r="C10" s="10">
        <v>21</v>
      </c>
      <c r="D10" s="10">
        <v>17</v>
      </c>
      <c r="E10" s="47">
        <v>351848</v>
      </c>
      <c r="F10" s="10">
        <v>1</v>
      </c>
      <c r="G10" s="47">
        <v>351848</v>
      </c>
      <c r="H10" s="47">
        <v>435724</v>
      </c>
      <c r="I10" s="40">
        <v>0.96899999999999997</v>
      </c>
      <c r="J10" s="40">
        <v>0.97</v>
      </c>
      <c r="K10" s="6">
        <v>44986</v>
      </c>
      <c r="L10" s="7"/>
    </row>
    <row r="11" spans="1:12" x14ac:dyDescent="0.3">
      <c r="A11" s="3" t="s">
        <v>28</v>
      </c>
      <c r="B11" s="5" t="s">
        <v>40</v>
      </c>
      <c r="C11" s="10">
        <v>15</v>
      </c>
      <c r="D11" s="10">
        <v>13</v>
      </c>
      <c r="E11" s="10">
        <v>327860</v>
      </c>
      <c r="F11" s="10">
        <v>1</v>
      </c>
      <c r="G11" s="47">
        <v>327860</v>
      </c>
      <c r="H11" s="47">
        <v>256575</v>
      </c>
      <c r="I11" s="40">
        <v>0.96699999999999997</v>
      </c>
      <c r="J11" s="48">
        <v>0.9</v>
      </c>
      <c r="K11" s="6">
        <v>44986</v>
      </c>
      <c r="L11" s="16" t="s">
        <v>13</v>
      </c>
    </row>
    <row r="12" spans="1:12" x14ac:dyDescent="0.3">
      <c r="A12" s="3" t="s">
        <v>28</v>
      </c>
      <c r="B12" s="5" t="s">
        <v>41</v>
      </c>
      <c r="C12" s="10">
        <v>14</v>
      </c>
      <c r="D12" s="10">
        <v>13</v>
      </c>
      <c r="E12" s="47">
        <v>79502</v>
      </c>
      <c r="F12" s="10">
        <v>5</v>
      </c>
      <c r="G12" s="47">
        <v>397510</v>
      </c>
      <c r="H12" s="47">
        <v>401893</v>
      </c>
      <c r="I12" s="40">
        <v>0.96299999999999997</v>
      </c>
      <c r="J12" s="10"/>
      <c r="K12" s="6">
        <v>44986</v>
      </c>
      <c r="L12" s="7"/>
    </row>
    <row r="13" spans="1:12" x14ac:dyDescent="0.3">
      <c r="A13" s="3" t="s">
        <v>28</v>
      </c>
      <c r="B13" s="5" t="s">
        <v>56</v>
      </c>
      <c r="C13" s="10">
        <v>8</v>
      </c>
      <c r="D13" s="10">
        <v>7</v>
      </c>
      <c r="E13" s="10"/>
      <c r="F13" s="10"/>
      <c r="G13" s="10"/>
      <c r="H13" s="10"/>
      <c r="I13" s="10"/>
      <c r="J13" s="10"/>
      <c r="K13" s="6">
        <v>44986</v>
      </c>
      <c r="L13" s="7"/>
    </row>
    <row r="14" spans="1:12" x14ac:dyDescent="0.3">
      <c r="A14" s="3" t="s">
        <v>28</v>
      </c>
      <c r="B14" s="5" t="s">
        <v>42</v>
      </c>
      <c r="C14" s="10">
        <v>7</v>
      </c>
      <c r="D14" s="10">
        <v>0</v>
      </c>
      <c r="E14" s="10"/>
      <c r="F14" s="10"/>
      <c r="G14" s="10"/>
      <c r="H14" s="10"/>
      <c r="I14" s="10"/>
      <c r="J14" s="10"/>
      <c r="K14" s="6">
        <v>44986</v>
      </c>
      <c r="L14" s="7"/>
    </row>
    <row r="15" spans="1:12" x14ac:dyDescent="0.3">
      <c r="A15" s="3" t="s">
        <v>29</v>
      </c>
      <c r="B15" s="5" t="s">
        <v>43</v>
      </c>
      <c r="C15" s="10">
        <v>20</v>
      </c>
      <c r="D15" s="10">
        <v>17</v>
      </c>
      <c r="E15" s="47">
        <v>286427</v>
      </c>
      <c r="F15" s="10">
        <v>1</v>
      </c>
      <c r="G15" s="47">
        <v>286427</v>
      </c>
      <c r="H15" s="47">
        <v>277212</v>
      </c>
      <c r="I15" s="40">
        <v>0.95</v>
      </c>
      <c r="J15" s="40">
        <v>1</v>
      </c>
      <c r="K15" s="6">
        <v>44986</v>
      </c>
      <c r="L15" s="16" t="s">
        <v>14</v>
      </c>
    </row>
    <row r="16" spans="1:12" ht="15" x14ac:dyDescent="0.3">
      <c r="A16" s="3" t="s">
        <v>29</v>
      </c>
      <c r="B16" s="5" t="s">
        <v>44</v>
      </c>
      <c r="C16" s="10">
        <v>15</v>
      </c>
      <c r="D16" s="10">
        <v>12</v>
      </c>
      <c r="E16" s="49">
        <v>5122</v>
      </c>
      <c r="F16" s="10">
        <v>48</v>
      </c>
      <c r="G16" s="47">
        <v>245856</v>
      </c>
      <c r="H16" s="49">
        <v>265812</v>
      </c>
      <c r="I16" s="40">
        <v>0.97</v>
      </c>
      <c r="J16" s="40">
        <v>0.99</v>
      </c>
      <c r="K16" s="6">
        <v>44986</v>
      </c>
      <c r="L16" s="7"/>
    </row>
    <row r="17" spans="1:12" ht="15" x14ac:dyDescent="0.3">
      <c r="A17" s="3" t="s">
        <v>29</v>
      </c>
      <c r="B17" s="5" t="s">
        <v>45</v>
      </c>
      <c r="C17" s="10">
        <v>34</v>
      </c>
      <c r="D17" s="10">
        <v>28</v>
      </c>
      <c r="E17" s="47">
        <v>618542</v>
      </c>
      <c r="F17" s="10">
        <v>1</v>
      </c>
      <c r="G17" s="47">
        <v>618542</v>
      </c>
      <c r="H17" s="49">
        <v>635790</v>
      </c>
      <c r="I17" s="40">
        <v>0.96399999999999997</v>
      </c>
      <c r="J17" s="40">
        <v>0.95</v>
      </c>
      <c r="K17" s="6">
        <v>44986</v>
      </c>
      <c r="L17" s="7"/>
    </row>
    <row r="18" spans="1:12" ht="15" x14ac:dyDescent="0.3">
      <c r="A18" s="3" t="s">
        <v>29</v>
      </c>
      <c r="B18" s="5" t="s">
        <v>46</v>
      </c>
      <c r="C18" s="10">
        <v>40</v>
      </c>
      <c r="D18" s="10">
        <v>34</v>
      </c>
      <c r="E18" s="47">
        <v>697988</v>
      </c>
      <c r="F18" s="10">
        <v>1</v>
      </c>
      <c r="G18" s="47">
        <v>697988</v>
      </c>
      <c r="H18" s="49">
        <v>714799</v>
      </c>
      <c r="I18" s="40">
        <v>0.96899999999999997</v>
      </c>
      <c r="J18" s="40">
        <v>0.96</v>
      </c>
      <c r="K18" s="6">
        <v>44986</v>
      </c>
      <c r="L18" s="7"/>
    </row>
    <row r="19" spans="1:12" ht="15" x14ac:dyDescent="0.3">
      <c r="A19" s="3" t="s">
        <v>29</v>
      </c>
      <c r="B19" s="5" t="s">
        <v>47</v>
      </c>
      <c r="C19" s="10">
        <v>14</v>
      </c>
      <c r="D19" s="10">
        <v>12</v>
      </c>
      <c r="E19" s="47">
        <v>226740</v>
      </c>
      <c r="F19" s="10">
        <v>1</v>
      </c>
      <c r="G19" s="47">
        <v>226740</v>
      </c>
      <c r="H19" s="49">
        <v>239085</v>
      </c>
      <c r="I19" s="40">
        <v>0.96499999999999997</v>
      </c>
      <c r="J19" s="40">
        <v>0.98</v>
      </c>
      <c r="K19" s="6">
        <v>44986</v>
      </c>
      <c r="L19" s="7"/>
    </row>
    <row r="20" spans="1:12" ht="15" x14ac:dyDescent="0.3">
      <c r="A20" s="3" t="s">
        <v>29</v>
      </c>
      <c r="B20" s="5" t="s">
        <v>48</v>
      </c>
      <c r="C20" s="10">
        <v>16</v>
      </c>
      <c r="D20" s="10">
        <v>15</v>
      </c>
      <c r="E20" s="49">
        <v>377914</v>
      </c>
      <c r="F20" s="10">
        <v>1</v>
      </c>
      <c r="G20" s="47">
        <v>377914</v>
      </c>
      <c r="H20" s="49">
        <v>403320</v>
      </c>
      <c r="I20" s="40">
        <v>0.97399999999999998</v>
      </c>
      <c r="J20" s="40">
        <v>0.97</v>
      </c>
      <c r="K20" s="6">
        <v>44986</v>
      </c>
      <c r="L20" s="7"/>
    </row>
    <row r="21" spans="1:12" x14ac:dyDescent="0.3">
      <c r="A21" s="3" t="s">
        <v>29</v>
      </c>
      <c r="B21" s="5" t="s">
        <v>49</v>
      </c>
      <c r="C21" s="10">
        <v>7</v>
      </c>
      <c r="D21" s="10">
        <v>0</v>
      </c>
      <c r="E21" s="10"/>
      <c r="F21" s="10"/>
      <c r="G21" s="10"/>
      <c r="H21" s="10"/>
      <c r="I21" s="10"/>
      <c r="J21" s="10"/>
      <c r="K21" s="6">
        <v>44986</v>
      </c>
      <c r="L21" s="7"/>
    </row>
    <row r="22" spans="1:12" x14ac:dyDescent="0.3">
      <c r="A22" s="3" t="s">
        <v>29</v>
      </c>
      <c r="B22" s="5" t="s">
        <v>50</v>
      </c>
      <c r="C22" s="10">
        <v>6</v>
      </c>
      <c r="D22" s="10">
        <v>0</v>
      </c>
      <c r="E22" s="10"/>
      <c r="F22" s="10"/>
      <c r="G22" s="10"/>
      <c r="H22" s="10"/>
      <c r="I22" s="10"/>
      <c r="J22" s="10"/>
      <c r="K22" s="6">
        <v>44986</v>
      </c>
      <c r="L22" s="7"/>
    </row>
    <row r="23" spans="1:12" x14ac:dyDescent="0.3">
      <c r="A23" s="3" t="s">
        <v>29</v>
      </c>
      <c r="B23" s="5" t="s">
        <v>42</v>
      </c>
      <c r="C23" s="10">
        <v>4</v>
      </c>
      <c r="D23" s="10">
        <v>0</v>
      </c>
      <c r="E23" s="10"/>
      <c r="F23" s="10"/>
      <c r="G23" s="10"/>
      <c r="H23" s="10"/>
      <c r="I23" s="10"/>
      <c r="J23" s="10"/>
      <c r="K23" s="6">
        <v>44986</v>
      </c>
      <c r="L23" s="7"/>
    </row>
    <row r="24" spans="1:12" x14ac:dyDescent="0.3">
      <c r="A24" s="3" t="s">
        <v>30</v>
      </c>
      <c r="B24" s="8" t="s">
        <v>51</v>
      </c>
      <c r="C24" s="10">
        <v>47</v>
      </c>
      <c r="D24" s="10">
        <v>38</v>
      </c>
      <c r="E24" s="47">
        <v>883700</v>
      </c>
      <c r="F24" s="10">
        <v>1</v>
      </c>
      <c r="G24" s="47">
        <v>883700</v>
      </c>
      <c r="H24" s="47">
        <v>938984</v>
      </c>
      <c r="I24" s="40">
        <v>0.97</v>
      </c>
      <c r="J24" s="40">
        <v>0.96499999999999997</v>
      </c>
      <c r="K24" s="6">
        <v>44986</v>
      </c>
      <c r="L24" s="7"/>
    </row>
    <row r="25" spans="1:12" x14ac:dyDescent="0.3">
      <c r="A25" s="3" t="s">
        <v>30</v>
      </c>
      <c r="B25" s="8" t="s">
        <v>70</v>
      </c>
      <c r="C25" s="10">
        <v>27</v>
      </c>
      <c r="D25" s="10">
        <v>24</v>
      </c>
      <c r="E25" s="47">
        <v>566727</v>
      </c>
      <c r="F25" s="10">
        <v>1</v>
      </c>
      <c r="G25" s="47">
        <v>566727</v>
      </c>
      <c r="H25" s="47">
        <v>603758</v>
      </c>
      <c r="I25" s="40">
        <v>0.96</v>
      </c>
      <c r="J25" s="40">
        <v>0.98</v>
      </c>
      <c r="K25" s="6">
        <v>44986</v>
      </c>
      <c r="L25" s="7"/>
    </row>
    <row r="26" spans="1:12" x14ac:dyDescent="0.3">
      <c r="A26" s="3" t="s">
        <v>30</v>
      </c>
      <c r="B26" s="8" t="s">
        <v>52</v>
      </c>
      <c r="C26" s="10">
        <v>9</v>
      </c>
      <c r="D26" s="10">
        <v>7.66</v>
      </c>
      <c r="E26" s="47">
        <v>183092</v>
      </c>
      <c r="F26" s="10">
        <v>1</v>
      </c>
      <c r="G26" s="47">
        <v>183092</v>
      </c>
      <c r="H26" s="47">
        <v>210515</v>
      </c>
      <c r="I26" s="40">
        <v>0.92200000000000004</v>
      </c>
      <c r="J26" s="40">
        <v>0.99</v>
      </c>
      <c r="K26" s="6">
        <v>44986</v>
      </c>
      <c r="L26" s="7"/>
    </row>
    <row r="27" spans="1:12" x14ac:dyDescent="0.3">
      <c r="A27" s="3" t="s">
        <v>30</v>
      </c>
      <c r="B27" s="8" t="s">
        <v>71</v>
      </c>
      <c r="C27" s="10">
        <v>27</v>
      </c>
      <c r="D27" s="10">
        <v>20</v>
      </c>
      <c r="E27" s="47">
        <v>504322</v>
      </c>
      <c r="F27" s="10">
        <v>1</v>
      </c>
      <c r="G27" s="47">
        <v>504322</v>
      </c>
      <c r="H27" s="47">
        <v>512549</v>
      </c>
      <c r="I27" s="40">
        <v>0.96799999999999997</v>
      </c>
      <c r="J27" s="40">
        <v>0.996</v>
      </c>
      <c r="K27" s="6">
        <v>44986</v>
      </c>
      <c r="L27" s="7"/>
    </row>
    <row r="28" spans="1:12" x14ac:dyDescent="0.3">
      <c r="A28" s="3" t="s">
        <v>30</v>
      </c>
      <c r="B28" s="8" t="s">
        <v>53</v>
      </c>
      <c r="C28" s="10">
        <v>20</v>
      </c>
      <c r="D28" s="10">
        <v>18</v>
      </c>
      <c r="E28" s="47">
        <v>361799</v>
      </c>
      <c r="F28" s="10">
        <v>1</v>
      </c>
      <c r="G28" s="47">
        <v>361799</v>
      </c>
      <c r="H28" s="47">
        <v>403877</v>
      </c>
      <c r="I28" s="40">
        <v>0.95</v>
      </c>
      <c r="J28" s="10"/>
      <c r="K28" s="6">
        <v>44986</v>
      </c>
      <c r="L28" s="7"/>
    </row>
    <row r="29" spans="1:12" x14ac:dyDescent="0.3">
      <c r="A29" s="3" t="s">
        <v>30</v>
      </c>
      <c r="B29" s="8" t="s">
        <v>54</v>
      </c>
      <c r="C29" s="10">
        <v>3</v>
      </c>
      <c r="D29" s="10">
        <v>1.5</v>
      </c>
      <c r="E29" s="47">
        <v>36700</v>
      </c>
      <c r="F29" s="10">
        <v>1</v>
      </c>
      <c r="G29" s="47">
        <v>36700</v>
      </c>
      <c r="H29" s="47">
        <v>39239</v>
      </c>
      <c r="I29" s="40">
        <v>0.96</v>
      </c>
      <c r="J29" s="10"/>
      <c r="K29" s="6">
        <v>44986</v>
      </c>
      <c r="L29" s="7"/>
    </row>
    <row r="30" spans="1:12" x14ac:dyDescent="0.3">
      <c r="A30" s="3" t="s">
        <v>30</v>
      </c>
      <c r="B30" s="8" t="s">
        <v>55</v>
      </c>
      <c r="C30" s="10">
        <v>4</v>
      </c>
      <c r="D30" s="10">
        <v>0</v>
      </c>
      <c r="E30" s="10"/>
      <c r="F30" s="10"/>
      <c r="G30" s="10"/>
      <c r="H30" s="10"/>
      <c r="I30" s="10"/>
      <c r="J30" s="10"/>
      <c r="K30" s="6">
        <v>44986</v>
      </c>
      <c r="L30" s="7"/>
    </row>
    <row r="31" spans="1:12" x14ac:dyDescent="0.3">
      <c r="A31" s="3" t="s">
        <v>28</v>
      </c>
      <c r="B31" s="9" t="s">
        <v>31</v>
      </c>
      <c r="C31" s="10">
        <v>89</v>
      </c>
      <c r="D31" s="10">
        <v>79</v>
      </c>
      <c r="E31" s="11">
        <v>41499</v>
      </c>
      <c r="F31" s="11">
        <v>53</v>
      </c>
      <c r="G31" s="11">
        <v>2199447</v>
      </c>
      <c r="H31" s="11">
        <v>2273794</v>
      </c>
      <c r="I31" s="12">
        <v>0.97199999999999998</v>
      </c>
      <c r="J31" s="12">
        <v>0.97</v>
      </c>
      <c r="K31" s="13">
        <v>45078</v>
      </c>
      <c r="L31" s="14"/>
    </row>
    <row r="32" spans="1:12" x14ac:dyDescent="0.3">
      <c r="A32" s="3" t="s">
        <v>28</v>
      </c>
      <c r="B32" s="9" t="s">
        <v>32</v>
      </c>
      <c r="C32" s="10">
        <v>32</v>
      </c>
      <c r="D32" s="10">
        <v>26</v>
      </c>
      <c r="E32" s="11">
        <v>6954.09</v>
      </c>
      <c r="F32" s="15">
        <v>38.6</v>
      </c>
      <c r="G32" s="11">
        <v>268427.87400000001</v>
      </c>
      <c r="H32" s="11">
        <v>286952.77</v>
      </c>
      <c r="I32" s="12">
        <v>0.96899999999999997</v>
      </c>
      <c r="J32" s="12">
        <v>0.96</v>
      </c>
      <c r="K32" s="13">
        <v>45078</v>
      </c>
      <c r="L32" s="14"/>
    </row>
    <row r="33" spans="1:12" x14ac:dyDescent="0.3">
      <c r="A33" s="3" t="s">
        <v>28</v>
      </c>
      <c r="B33" s="9" t="s">
        <v>33</v>
      </c>
      <c r="C33" s="10">
        <v>15</v>
      </c>
      <c r="D33" s="10">
        <v>12</v>
      </c>
      <c r="E33" s="11">
        <v>343936</v>
      </c>
      <c r="F33" s="11">
        <v>1</v>
      </c>
      <c r="G33" s="11">
        <v>343936</v>
      </c>
      <c r="H33" s="11">
        <v>354033</v>
      </c>
      <c r="I33" s="12">
        <v>0.98499999999999999</v>
      </c>
      <c r="J33" s="12">
        <v>0.9</v>
      </c>
      <c r="K33" s="13">
        <v>45078</v>
      </c>
      <c r="L33" s="14"/>
    </row>
    <row r="34" spans="1:12" x14ac:dyDescent="0.3">
      <c r="A34" s="3" t="s">
        <v>28</v>
      </c>
      <c r="B34" s="9" t="s">
        <v>34</v>
      </c>
      <c r="C34" s="10">
        <v>41</v>
      </c>
      <c r="D34" s="10">
        <v>29</v>
      </c>
      <c r="E34" s="11">
        <v>12570</v>
      </c>
      <c r="F34" s="11">
        <v>53</v>
      </c>
      <c r="G34" s="11">
        <v>666210</v>
      </c>
      <c r="H34" s="11">
        <v>722371</v>
      </c>
      <c r="I34" s="12">
        <v>0.96</v>
      </c>
      <c r="J34" s="12">
        <v>0.97</v>
      </c>
      <c r="K34" s="13">
        <v>45078</v>
      </c>
      <c r="L34" s="36"/>
    </row>
    <row r="35" spans="1:12" x14ac:dyDescent="0.3">
      <c r="A35" s="3" t="s">
        <v>28</v>
      </c>
      <c r="B35" s="9" t="s">
        <v>35</v>
      </c>
      <c r="C35" s="10">
        <v>33</v>
      </c>
      <c r="D35" s="10">
        <v>29</v>
      </c>
      <c r="E35" s="11">
        <v>18462.13</v>
      </c>
      <c r="F35" s="11">
        <v>34</v>
      </c>
      <c r="G35" s="11">
        <v>627712.42000000004</v>
      </c>
      <c r="H35" s="11">
        <v>672837</v>
      </c>
      <c r="I35" s="12">
        <v>0.97</v>
      </c>
      <c r="J35" s="12">
        <v>0.99</v>
      </c>
      <c r="K35" s="13">
        <v>45078</v>
      </c>
      <c r="L35" s="36"/>
    </row>
    <row r="36" spans="1:12" x14ac:dyDescent="0.3">
      <c r="A36" s="3" t="s">
        <v>28</v>
      </c>
      <c r="B36" s="9" t="s">
        <v>36</v>
      </c>
      <c r="C36" s="10">
        <v>46</v>
      </c>
      <c r="D36" s="10">
        <v>37</v>
      </c>
      <c r="E36" s="11">
        <v>13230</v>
      </c>
      <c r="F36" s="11">
        <v>44</v>
      </c>
      <c r="G36" s="11">
        <v>582120</v>
      </c>
      <c r="H36" s="11">
        <v>651873</v>
      </c>
      <c r="I36" s="12">
        <v>0.97</v>
      </c>
      <c r="J36" s="12">
        <v>0.98</v>
      </c>
      <c r="K36" s="13">
        <v>45078</v>
      </c>
      <c r="L36" s="37"/>
    </row>
    <row r="37" spans="1:12" x14ac:dyDescent="0.3">
      <c r="A37" s="3" t="s">
        <v>28</v>
      </c>
      <c r="B37" s="9" t="s">
        <v>37</v>
      </c>
      <c r="C37" s="10">
        <v>13</v>
      </c>
      <c r="D37" s="10">
        <v>11</v>
      </c>
      <c r="E37" s="11">
        <v>2872</v>
      </c>
      <c r="F37" s="11">
        <v>43</v>
      </c>
      <c r="G37" s="11">
        <v>123496</v>
      </c>
      <c r="H37" s="11">
        <v>151272</v>
      </c>
      <c r="I37" s="12">
        <v>0.97</v>
      </c>
      <c r="J37" s="12">
        <v>0.99</v>
      </c>
      <c r="K37" s="13">
        <v>45078</v>
      </c>
      <c r="L37" s="16" t="s">
        <v>15</v>
      </c>
    </row>
    <row r="38" spans="1:12" x14ac:dyDescent="0.3">
      <c r="A38" s="3" t="s">
        <v>28</v>
      </c>
      <c r="B38" s="9" t="s">
        <v>38</v>
      </c>
      <c r="C38" s="10">
        <v>11</v>
      </c>
      <c r="D38" s="10">
        <v>8</v>
      </c>
      <c r="E38" s="11">
        <v>6052</v>
      </c>
      <c r="F38" s="11">
        <v>32</v>
      </c>
      <c r="G38" s="11">
        <v>193664</v>
      </c>
      <c r="H38" s="11">
        <v>202044</v>
      </c>
      <c r="I38" s="12">
        <v>0.96</v>
      </c>
      <c r="J38" s="12">
        <v>0.98</v>
      </c>
      <c r="K38" s="13">
        <v>45078</v>
      </c>
      <c r="L38" s="37"/>
    </row>
    <row r="39" spans="1:12" x14ac:dyDescent="0.3">
      <c r="A39" s="3" t="s">
        <v>28</v>
      </c>
      <c r="B39" s="9" t="s">
        <v>39</v>
      </c>
      <c r="C39" s="10">
        <v>21</v>
      </c>
      <c r="D39" s="10">
        <v>16</v>
      </c>
      <c r="E39" s="11">
        <v>376348</v>
      </c>
      <c r="F39" s="11">
        <v>1</v>
      </c>
      <c r="G39" s="11">
        <v>376348</v>
      </c>
      <c r="H39" s="11">
        <v>442555</v>
      </c>
      <c r="I39" s="12">
        <v>0.96199999999999997</v>
      </c>
      <c r="J39" s="12">
        <v>0.98</v>
      </c>
      <c r="K39" s="13">
        <v>45078</v>
      </c>
      <c r="L39" s="37" t="s">
        <v>16</v>
      </c>
    </row>
    <row r="40" spans="1:12" x14ac:dyDescent="0.3">
      <c r="A40" s="3" t="s">
        <v>28</v>
      </c>
      <c r="B40" s="9" t="s">
        <v>40</v>
      </c>
      <c r="C40" s="10">
        <v>15</v>
      </c>
      <c r="D40" s="10">
        <v>13</v>
      </c>
      <c r="E40" s="11">
        <v>284400</v>
      </c>
      <c r="F40" s="11">
        <v>1</v>
      </c>
      <c r="G40" s="11">
        <v>284400</v>
      </c>
      <c r="H40" s="11">
        <v>298365</v>
      </c>
      <c r="I40" s="12">
        <v>0.97</v>
      </c>
      <c r="J40" s="12">
        <v>1</v>
      </c>
      <c r="K40" s="13">
        <v>45078</v>
      </c>
      <c r="L40" s="16"/>
    </row>
    <row r="41" spans="1:12" x14ac:dyDescent="0.3">
      <c r="A41" s="3" t="s">
        <v>28</v>
      </c>
      <c r="B41" s="9" t="s">
        <v>41</v>
      </c>
      <c r="C41" s="10">
        <v>14</v>
      </c>
      <c r="D41" s="10">
        <v>12</v>
      </c>
      <c r="E41" s="11">
        <v>87548</v>
      </c>
      <c r="F41" s="11">
        <v>5</v>
      </c>
      <c r="G41" s="11">
        <v>437740</v>
      </c>
      <c r="H41" s="11">
        <v>438687</v>
      </c>
      <c r="I41" s="12">
        <v>0.95199999999999996</v>
      </c>
      <c r="J41" s="12"/>
      <c r="K41" s="13">
        <v>45078</v>
      </c>
      <c r="L41" s="16"/>
    </row>
    <row r="42" spans="1:12" x14ac:dyDescent="0.3">
      <c r="A42" s="3" t="s">
        <v>28</v>
      </c>
      <c r="B42" s="9" t="s">
        <v>56</v>
      </c>
      <c r="C42" s="10">
        <v>8</v>
      </c>
      <c r="D42" s="10">
        <v>7</v>
      </c>
      <c r="E42" s="11"/>
      <c r="F42" s="11"/>
      <c r="G42" s="11"/>
      <c r="H42" s="11"/>
      <c r="I42" s="12"/>
      <c r="J42" s="12"/>
      <c r="K42" s="13">
        <v>45078</v>
      </c>
      <c r="L42" s="16"/>
    </row>
    <row r="43" spans="1:12" x14ac:dyDescent="0.3">
      <c r="A43" s="3" t="s">
        <v>28</v>
      </c>
      <c r="B43" s="9" t="s">
        <v>42</v>
      </c>
      <c r="C43" s="10">
        <v>7</v>
      </c>
      <c r="D43" s="10">
        <v>0</v>
      </c>
      <c r="E43" s="11"/>
      <c r="F43" s="11"/>
      <c r="G43" s="11"/>
      <c r="H43" s="11"/>
      <c r="I43" s="12"/>
      <c r="J43" s="12"/>
      <c r="K43" s="13">
        <v>45078</v>
      </c>
      <c r="L43" s="16"/>
    </row>
    <row r="44" spans="1:12" ht="15" x14ac:dyDescent="0.3">
      <c r="A44" s="3" t="s">
        <v>29</v>
      </c>
      <c r="B44" s="17" t="s">
        <v>43</v>
      </c>
      <c r="C44" s="10">
        <v>19.600000000000001</v>
      </c>
      <c r="D44" s="10">
        <v>16.600000000000001</v>
      </c>
      <c r="E44" s="11">
        <v>280816.90000000002</v>
      </c>
      <c r="F44" s="11">
        <v>1</v>
      </c>
      <c r="G44" s="11">
        <v>280816.90000000002</v>
      </c>
      <c r="H44" s="18">
        <v>307934</v>
      </c>
      <c r="I44" s="12">
        <v>0.96699999999999997</v>
      </c>
      <c r="J44" s="12">
        <v>0.99</v>
      </c>
      <c r="K44" s="13">
        <v>45078</v>
      </c>
      <c r="L44" s="16"/>
    </row>
    <row r="45" spans="1:12" ht="15" x14ac:dyDescent="0.3">
      <c r="A45" s="3" t="s">
        <v>29</v>
      </c>
      <c r="B45" s="9" t="s">
        <v>44</v>
      </c>
      <c r="C45" s="10">
        <v>17.329999999999998</v>
      </c>
      <c r="D45" s="10">
        <v>15</v>
      </c>
      <c r="E45" s="18">
        <v>8116</v>
      </c>
      <c r="F45" s="11">
        <v>45.28</v>
      </c>
      <c r="G45" s="11">
        <v>367492.48</v>
      </c>
      <c r="H45" s="18">
        <v>385590.48000000004</v>
      </c>
      <c r="I45" s="12">
        <v>0.95099999999999996</v>
      </c>
      <c r="J45" s="12">
        <v>1</v>
      </c>
      <c r="K45" s="13">
        <v>45078</v>
      </c>
      <c r="L45" s="16"/>
    </row>
    <row r="46" spans="1:12" ht="15" x14ac:dyDescent="0.3">
      <c r="A46" s="3" t="s">
        <v>29</v>
      </c>
      <c r="B46" s="9" t="s">
        <v>45</v>
      </c>
      <c r="C46" s="10">
        <v>40.299999999999997</v>
      </c>
      <c r="D46" s="10">
        <v>35.299999999999997</v>
      </c>
      <c r="E46" s="11">
        <v>612532</v>
      </c>
      <c r="F46" s="11">
        <v>1</v>
      </c>
      <c r="G46" s="11">
        <v>612532</v>
      </c>
      <c r="H46" s="18">
        <v>682243</v>
      </c>
      <c r="I46" s="12">
        <v>0.96099999999999997</v>
      </c>
      <c r="J46" s="12">
        <v>0.97</v>
      </c>
      <c r="K46" s="13">
        <v>45078</v>
      </c>
      <c r="L46" s="16" t="s">
        <v>17</v>
      </c>
    </row>
    <row r="47" spans="1:12" ht="15" x14ac:dyDescent="0.3">
      <c r="A47" s="3" t="s">
        <v>29</v>
      </c>
      <c r="B47" s="9" t="s">
        <v>46</v>
      </c>
      <c r="C47" s="10">
        <v>46.3</v>
      </c>
      <c r="D47" s="10">
        <v>40.299999999999997</v>
      </c>
      <c r="E47" s="11">
        <v>953410</v>
      </c>
      <c r="F47" s="11">
        <v>1</v>
      </c>
      <c r="G47" s="11">
        <v>953410</v>
      </c>
      <c r="H47" s="18">
        <v>960394</v>
      </c>
      <c r="I47" s="12">
        <v>0.96099999999999997</v>
      </c>
      <c r="J47" s="12">
        <v>0.99</v>
      </c>
      <c r="K47" s="13">
        <v>45078</v>
      </c>
      <c r="L47" s="16"/>
    </row>
    <row r="48" spans="1:12" ht="15" x14ac:dyDescent="0.3">
      <c r="A48" s="3" t="s">
        <v>29</v>
      </c>
      <c r="B48" s="9" t="s">
        <v>47</v>
      </c>
      <c r="C48" s="10">
        <v>11.3</v>
      </c>
      <c r="D48" s="10">
        <v>9.3000000000000007</v>
      </c>
      <c r="E48" s="11">
        <v>211183</v>
      </c>
      <c r="F48" s="11">
        <v>1</v>
      </c>
      <c r="G48" s="11">
        <v>211183</v>
      </c>
      <c r="H48" s="18">
        <v>212717</v>
      </c>
      <c r="I48" s="12">
        <v>0.96199999999999997</v>
      </c>
      <c r="J48" s="12">
        <v>0.97</v>
      </c>
      <c r="K48" s="13">
        <v>45078</v>
      </c>
      <c r="L48" s="16"/>
    </row>
    <row r="49" spans="1:12" ht="15" x14ac:dyDescent="0.3">
      <c r="A49" s="3" t="s">
        <v>29</v>
      </c>
      <c r="B49" s="9" t="s">
        <v>48</v>
      </c>
      <c r="C49" s="10">
        <v>11.3</v>
      </c>
      <c r="D49" s="10">
        <v>9.33</v>
      </c>
      <c r="E49" s="18">
        <v>214864</v>
      </c>
      <c r="F49" s="11">
        <v>1</v>
      </c>
      <c r="G49" s="11">
        <v>214864</v>
      </c>
      <c r="H49" s="18">
        <v>216596</v>
      </c>
      <c r="I49" s="12">
        <v>0.98099999999999998</v>
      </c>
      <c r="J49" s="12">
        <v>1</v>
      </c>
      <c r="K49" s="13">
        <v>45078</v>
      </c>
      <c r="L49" s="16"/>
    </row>
    <row r="50" spans="1:12" x14ac:dyDescent="0.3">
      <c r="A50" s="3" t="s">
        <v>29</v>
      </c>
      <c r="B50" s="9" t="s">
        <v>49</v>
      </c>
      <c r="C50" s="10">
        <v>8</v>
      </c>
      <c r="D50" s="10">
        <v>0</v>
      </c>
      <c r="E50" s="11"/>
      <c r="F50" s="11"/>
      <c r="G50" s="11"/>
      <c r="H50" s="11"/>
      <c r="I50" s="12"/>
      <c r="J50" s="12"/>
      <c r="K50" s="13">
        <v>45078</v>
      </c>
      <c r="L50" s="16"/>
    </row>
    <row r="51" spans="1:12" x14ac:dyDescent="0.3">
      <c r="A51" s="3" t="s">
        <v>29</v>
      </c>
      <c r="B51" s="9" t="s">
        <v>50</v>
      </c>
      <c r="C51" s="10">
        <v>5</v>
      </c>
      <c r="D51" s="10">
        <v>0</v>
      </c>
      <c r="E51" s="11"/>
      <c r="F51" s="11"/>
      <c r="G51" s="11"/>
      <c r="H51" s="11"/>
      <c r="I51" s="12"/>
      <c r="J51" s="12"/>
      <c r="K51" s="13">
        <v>45078</v>
      </c>
      <c r="L51" s="16"/>
    </row>
    <row r="52" spans="1:12" x14ac:dyDescent="0.3">
      <c r="A52" s="3" t="s">
        <v>29</v>
      </c>
      <c r="B52" s="9" t="s">
        <v>42</v>
      </c>
      <c r="C52" s="10">
        <v>4</v>
      </c>
      <c r="D52" s="10">
        <v>0</v>
      </c>
      <c r="E52" s="11"/>
      <c r="F52" s="11"/>
      <c r="G52" s="11"/>
      <c r="H52" s="11"/>
      <c r="I52" s="12"/>
      <c r="J52" s="12"/>
      <c r="K52" s="13">
        <v>45078</v>
      </c>
      <c r="L52" s="16"/>
    </row>
    <row r="53" spans="1:12" x14ac:dyDescent="0.3">
      <c r="A53" s="3" t="s">
        <v>30</v>
      </c>
      <c r="B53" s="19" t="s">
        <v>51</v>
      </c>
      <c r="C53" s="10">
        <v>43</v>
      </c>
      <c r="D53" s="10">
        <v>36</v>
      </c>
      <c r="E53" s="11">
        <v>862646</v>
      </c>
      <c r="F53" s="11">
        <v>1</v>
      </c>
      <c r="G53" s="11">
        <v>862646</v>
      </c>
      <c r="H53" s="11">
        <v>884971</v>
      </c>
      <c r="I53" s="1">
        <v>0.97</v>
      </c>
      <c r="J53" s="1">
        <v>0.95689999999999997</v>
      </c>
      <c r="K53" s="13">
        <v>45078</v>
      </c>
      <c r="L53" s="16"/>
    </row>
    <row r="54" spans="1:12" x14ac:dyDescent="0.3">
      <c r="A54" s="3" t="s">
        <v>30</v>
      </c>
      <c r="B54" s="8" t="s">
        <v>70</v>
      </c>
      <c r="C54" s="10">
        <v>24</v>
      </c>
      <c r="D54" s="10">
        <v>20</v>
      </c>
      <c r="E54" s="11">
        <v>529455</v>
      </c>
      <c r="F54" s="11">
        <v>1</v>
      </c>
      <c r="G54" s="11">
        <v>529455</v>
      </c>
      <c r="H54" s="11">
        <v>552450</v>
      </c>
      <c r="I54" s="1">
        <v>0.96</v>
      </c>
      <c r="J54" s="1">
        <v>0.97</v>
      </c>
      <c r="K54" s="13">
        <v>45078</v>
      </c>
      <c r="L54" s="16"/>
    </row>
    <row r="55" spans="1:12" x14ac:dyDescent="0.3">
      <c r="A55" s="3" t="s">
        <v>30</v>
      </c>
      <c r="B55" s="19" t="s">
        <v>52</v>
      </c>
      <c r="C55" s="10">
        <v>8.33</v>
      </c>
      <c r="D55" s="10">
        <v>6.33</v>
      </c>
      <c r="E55" s="11">
        <v>142173</v>
      </c>
      <c r="F55" s="11">
        <v>1</v>
      </c>
      <c r="G55" s="11">
        <v>142173</v>
      </c>
      <c r="H55" s="11">
        <v>179280</v>
      </c>
      <c r="I55" s="1">
        <v>0.93620000000000003</v>
      </c>
      <c r="J55" s="1">
        <v>0.97499999999999998</v>
      </c>
      <c r="K55" s="13">
        <v>45078</v>
      </c>
      <c r="L55" s="16"/>
    </row>
    <row r="56" spans="1:12" x14ac:dyDescent="0.3">
      <c r="A56" s="3" t="s">
        <v>30</v>
      </c>
      <c r="B56" s="8" t="s">
        <v>71</v>
      </c>
      <c r="C56" s="10">
        <v>25</v>
      </c>
      <c r="D56" s="10">
        <v>19</v>
      </c>
      <c r="E56" s="11">
        <v>661775.6</v>
      </c>
      <c r="F56" s="11">
        <v>1</v>
      </c>
      <c r="G56" s="11">
        <v>661775.6</v>
      </c>
      <c r="H56" s="11">
        <v>646080</v>
      </c>
      <c r="I56" s="1">
        <v>0.96699999999999997</v>
      </c>
      <c r="J56" s="1">
        <v>0.99688871603978002</v>
      </c>
      <c r="K56" s="13">
        <v>45078</v>
      </c>
      <c r="L56" s="16"/>
    </row>
    <row r="57" spans="1:12" x14ac:dyDescent="0.3">
      <c r="A57" s="3" t="s">
        <v>30</v>
      </c>
      <c r="B57" s="19" t="s">
        <v>53</v>
      </c>
      <c r="C57" s="10">
        <v>18</v>
      </c>
      <c r="D57" s="10">
        <v>16</v>
      </c>
      <c r="E57" s="11">
        <v>361912.09</v>
      </c>
      <c r="F57" s="11">
        <v>1</v>
      </c>
      <c r="G57" s="11">
        <v>361912.09</v>
      </c>
      <c r="H57" s="11">
        <v>380883.19</v>
      </c>
      <c r="I57" s="1">
        <v>0.97</v>
      </c>
      <c r="J57" s="1"/>
      <c r="K57" s="13">
        <v>45078</v>
      </c>
      <c r="L57" s="16"/>
    </row>
    <row r="58" spans="1:12" x14ac:dyDescent="0.3">
      <c r="A58" s="3" t="s">
        <v>30</v>
      </c>
      <c r="B58" s="19" t="s">
        <v>54</v>
      </c>
      <c r="C58" s="10">
        <v>3</v>
      </c>
      <c r="D58" s="10">
        <v>2</v>
      </c>
      <c r="E58" s="11">
        <v>83808.36</v>
      </c>
      <c r="F58" s="11">
        <v>1</v>
      </c>
      <c r="G58" s="11">
        <v>83808.36</v>
      </c>
      <c r="H58" s="11">
        <v>85070.7</v>
      </c>
      <c r="I58" s="1">
        <v>0.97</v>
      </c>
      <c r="J58" s="1"/>
      <c r="K58" s="13">
        <v>45078</v>
      </c>
      <c r="L58" s="16"/>
    </row>
    <row r="59" spans="1:12" x14ac:dyDescent="0.3">
      <c r="A59" s="3" t="s">
        <v>30</v>
      </c>
      <c r="B59" s="19" t="s">
        <v>55</v>
      </c>
      <c r="C59" s="10">
        <v>4</v>
      </c>
      <c r="D59" s="10">
        <v>0</v>
      </c>
      <c r="E59" s="11"/>
      <c r="F59" s="11"/>
      <c r="G59" s="11"/>
      <c r="H59" s="11"/>
      <c r="I59" s="12"/>
      <c r="J59" s="12"/>
      <c r="K59" s="13">
        <v>45078</v>
      </c>
      <c r="L59" s="16"/>
    </row>
    <row r="60" spans="1:12" x14ac:dyDescent="0.3">
      <c r="A60" s="3" t="s">
        <v>28</v>
      </c>
      <c r="B60" s="20" t="s">
        <v>31</v>
      </c>
      <c r="C60" s="21">
        <v>89</v>
      </c>
      <c r="D60" s="21">
        <v>79</v>
      </c>
      <c r="E60" s="21">
        <v>42746</v>
      </c>
      <c r="F60" s="21">
        <v>53</v>
      </c>
      <c r="G60" s="21">
        <v>2265538</v>
      </c>
      <c r="H60" s="21">
        <v>2347923</v>
      </c>
      <c r="I60" s="22">
        <v>0.97499999999999998</v>
      </c>
      <c r="J60" s="22">
        <v>0.99</v>
      </c>
      <c r="K60" s="23">
        <v>45170</v>
      </c>
      <c r="L60" s="14"/>
    </row>
    <row r="61" spans="1:12" x14ac:dyDescent="0.3">
      <c r="A61" s="3" t="s">
        <v>28</v>
      </c>
      <c r="B61" s="20" t="s">
        <v>32</v>
      </c>
      <c r="C61" s="21">
        <v>31</v>
      </c>
      <c r="D61" s="24">
        <v>24</v>
      </c>
      <c r="E61" s="21">
        <v>9363.64</v>
      </c>
      <c r="F61" s="25">
        <v>39</v>
      </c>
      <c r="G61" s="21">
        <v>365181.95999999996</v>
      </c>
      <c r="H61" s="21">
        <v>400274.97</v>
      </c>
      <c r="I61" s="22">
        <v>0.97499999999999998</v>
      </c>
      <c r="J61" s="22">
        <v>0.98150000000000004</v>
      </c>
      <c r="K61" s="23">
        <v>45170</v>
      </c>
      <c r="L61" s="14"/>
    </row>
    <row r="62" spans="1:12" x14ac:dyDescent="0.3">
      <c r="A62" s="3" t="s">
        <v>28</v>
      </c>
      <c r="B62" s="20" t="s">
        <v>33</v>
      </c>
      <c r="C62" s="21">
        <v>15</v>
      </c>
      <c r="D62" s="24">
        <v>12</v>
      </c>
      <c r="E62" s="21">
        <v>325932</v>
      </c>
      <c r="F62" s="21">
        <v>1</v>
      </c>
      <c r="G62" s="21">
        <v>325932</v>
      </c>
      <c r="H62" s="21">
        <v>326494</v>
      </c>
      <c r="I62" s="22">
        <v>0.98099999999999998</v>
      </c>
      <c r="J62" s="22">
        <v>0.92</v>
      </c>
      <c r="K62" s="23">
        <v>45170</v>
      </c>
      <c r="L62" s="14"/>
    </row>
    <row r="63" spans="1:12" x14ac:dyDescent="0.3">
      <c r="A63" s="3" t="s">
        <v>28</v>
      </c>
      <c r="B63" s="20" t="s">
        <v>34</v>
      </c>
      <c r="C63" s="24">
        <v>32</v>
      </c>
      <c r="D63" s="24">
        <v>28</v>
      </c>
      <c r="E63" s="24">
        <v>14598</v>
      </c>
      <c r="F63" s="21">
        <v>53</v>
      </c>
      <c r="G63" s="21">
        <v>773694</v>
      </c>
      <c r="H63" s="21">
        <v>841878</v>
      </c>
      <c r="I63" s="22">
        <v>0.97</v>
      </c>
      <c r="J63" s="22">
        <v>0.95</v>
      </c>
      <c r="K63" s="23">
        <v>45170</v>
      </c>
      <c r="L63" s="36"/>
    </row>
    <row r="64" spans="1:12" x14ac:dyDescent="0.3">
      <c r="A64" s="3" t="s">
        <v>28</v>
      </c>
      <c r="B64" s="20" t="s">
        <v>35</v>
      </c>
      <c r="C64" s="24">
        <v>33</v>
      </c>
      <c r="D64" s="24">
        <v>29</v>
      </c>
      <c r="E64" s="21">
        <v>17800.37</v>
      </c>
      <c r="F64" s="21">
        <v>34</v>
      </c>
      <c r="G64" s="21">
        <v>605212.57999999996</v>
      </c>
      <c r="H64" s="21">
        <v>683670</v>
      </c>
      <c r="I64" s="22">
        <v>0.97699999999999998</v>
      </c>
      <c r="J64" s="22">
        <v>0.99</v>
      </c>
      <c r="K64" s="23">
        <v>45170</v>
      </c>
      <c r="L64" s="36"/>
    </row>
    <row r="65" spans="1:12" x14ac:dyDescent="0.3">
      <c r="A65" s="3" t="s">
        <v>28</v>
      </c>
      <c r="B65" s="20" t="s">
        <v>36</v>
      </c>
      <c r="C65" s="24">
        <v>44</v>
      </c>
      <c r="D65" s="24">
        <v>36</v>
      </c>
      <c r="E65" s="24">
        <v>17968</v>
      </c>
      <c r="F65" s="21">
        <v>44</v>
      </c>
      <c r="G65" s="21">
        <v>790592</v>
      </c>
      <c r="H65" s="21">
        <v>867020</v>
      </c>
      <c r="I65" s="26">
        <v>0.97099999999999997</v>
      </c>
      <c r="J65" s="26">
        <v>0.99</v>
      </c>
      <c r="K65" s="23">
        <v>45170</v>
      </c>
      <c r="L65" s="37"/>
    </row>
    <row r="66" spans="1:12" x14ac:dyDescent="0.3">
      <c r="A66" s="3" t="s">
        <v>28</v>
      </c>
      <c r="B66" s="20" t="s">
        <v>37</v>
      </c>
      <c r="C66" s="27">
        <v>12</v>
      </c>
      <c r="D66" s="27">
        <v>11</v>
      </c>
      <c r="E66" s="11">
        <v>4507</v>
      </c>
      <c r="F66" s="11">
        <v>43</v>
      </c>
      <c r="G66" s="11">
        <v>193801</v>
      </c>
      <c r="H66" s="11">
        <v>302304</v>
      </c>
      <c r="I66" s="26">
        <v>0.97</v>
      </c>
      <c r="J66" s="26">
        <v>0.99</v>
      </c>
      <c r="K66" s="23">
        <v>45170</v>
      </c>
      <c r="L66" s="16" t="s">
        <v>18</v>
      </c>
    </row>
    <row r="67" spans="1:12" x14ac:dyDescent="0.3">
      <c r="A67" s="3" t="s">
        <v>28</v>
      </c>
      <c r="B67" s="20" t="s">
        <v>38</v>
      </c>
      <c r="C67" s="24">
        <v>8</v>
      </c>
      <c r="D67" s="24">
        <v>6</v>
      </c>
      <c r="E67" s="21">
        <v>5171</v>
      </c>
      <c r="F67" s="21">
        <v>32</v>
      </c>
      <c r="G67" s="21">
        <v>165472</v>
      </c>
      <c r="H67" s="21">
        <v>180222</v>
      </c>
      <c r="I67" s="22">
        <v>0.96</v>
      </c>
      <c r="J67" s="22">
        <v>0.97</v>
      </c>
      <c r="K67" s="23">
        <v>45170</v>
      </c>
      <c r="L67" s="37"/>
    </row>
    <row r="68" spans="1:12" x14ac:dyDescent="0.3">
      <c r="A68" s="3" t="s">
        <v>28</v>
      </c>
      <c r="B68" s="20" t="s">
        <v>39</v>
      </c>
      <c r="C68" s="24">
        <v>22</v>
      </c>
      <c r="D68" s="24">
        <v>16</v>
      </c>
      <c r="E68" s="21">
        <v>259213</v>
      </c>
      <c r="F68" s="21">
        <v>1</v>
      </c>
      <c r="G68" s="21">
        <v>259213</v>
      </c>
      <c r="H68" s="21">
        <v>284416</v>
      </c>
      <c r="I68" s="22">
        <v>0.95499999999999996</v>
      </c>
      <c r="J68" s="22">
        <v>0.99</v>
      </c>
      <c r="K68" s="23">
        <v>45170</v>
      </c>
      <c r="L68" s="37"/>
    </row>
    <row r="69" spans="1:12" x14ac:dyDescent="0.3">
      <c r="A69" s="3" t="s">
        <v>28</v>
      </c>
      <c r="B69" s="20" t="s">
        <v>40</v>
      </c>
      <c r="C69" s="24">
        <v>26</v>
      </c>
      <c r="D69" s="24">
        <v>23</v>
      </c>
      <c r="E69" s="24">
        <v>589722</v>
      </c>
      <c r="F69" s="21">
        <v>1</v>
      </c>
      <c r="G69" s="21">
        <v>589722</v>
      </c>
      <c r="H69" s="21">
        <v>582450</v>
      </c>
      <c r="I69" s="22">
        <v>0.98899999999999999</v>
      </c>
      <c r="J69" s="28">
        <v>1</v>
      </c>
      <c r="K69" s="23">
        <v>45170</v>
      </c>
      <c r="L69" s="16"/>
    </row>
    <row r="70" spans="1:12" x14ac:dyDescent="0.3">
      <c r="A70" s="3" t="s">
        <v>28</v>
      </c>
      <c r="B70" s="20" t="s">
        <v>41</v>
      </c>
      <c r="C70" s="24">
        <v>14</v>
      </c>
      <c r="D70" s="24">
        <v>12</v>
      </c>
      <c r="E70" s="21">
        <v>71896</v>
      </c>
      <c r="F70" s="21">
        <v>5</v>
      </c>
      <c r="G70" s="21">
        <v>359480</v>
      </c>
      <c r="H70" s="21">
        <v>336029</v>
      </c>
      <c r="I70" s="22">
        <v>0.94799999999999995</v>
      </c>
      <c r="J70" s="24"/>
      <c r="K70" s="23">
        <v>45170</v>
      </c>
      <c r="L70" s="16" t="s">
        <v>19</v>
      </c>
    </row>
    <row r="71" spans="1:12" x14ac:dyDescent="0.3">
      <c r="A71" s="3" t="s">
        <v>28</v>
      </c>
      <c r="B71" s="20" t="s">
        <v>56</v>
      </c>
      <c r="C71" s="24">
        <v>8</v>
      </c>
      <c r="D71" s="24">
        <v>6</v>
      </c>
      <c r="E71" s="21"/>
      <c r="F71" s="21"/>
      <c r="G71" s="21"/>
      <c r="H71" s="21"/>
      <c r="I71" s="21"/>
      <c r="J71" s="24"/>
      <c r="K71" s="23">
        <v>45170</v>
      </c>
      <c r="L71" s="16"/>
    </row>
    <row r="72" spans="1:12" x14ac:dyDescent="0.3">
      <c r="A72" s="3" t="s">
        <v>28</v>
      </c>
      <c r="B72" s="20" t="s">
        <v>42</v>
      </c>
      <c r="C72" s="24">
        <v>7</v>
      </c>
      <c r="D72" s="24">
        <v>0</v>
      </c>
      <c r="E72" s="21"/>
      <c r="F72" s="24"/>
      <c r="G72" s="21"/>
      <c r="H72" s="21"/>
      <c r="I72" s="24"/>
      <c r="J72" s="24"/>
      <c r="K72" s="23">
        <v>45170</v>
      </c>
      <c r="L72" s="16"/>
    </row>
    <row r="73" spans="1:12" ht="15" x14ac:dyDescent="0.3">
      <c r="A73" s="3" t="s">
        <v>29</v>
      </c>
      <c r="B73" s="20" t="s">
        <v>57</v>
      </c>
      <c r="C73" s="29">
        <v>18.600000000000001</v>
      </c>
      <c r="D73" s="29">
        <v>15</v>
      </c>
      <c r="E73" s="21">
        <v>301006.2</v>
      </c>
      <c r="F73" s="21">
        <v>1</v>
      </c>
      <c r="G73" s="21">
        <v>301006.2</v>
      </c>
      <c r="H73" s="30">
        <v>314189</v>
      </c>
      <c r="I73" s="22">
        <v>0.96499999999999997</v>
      </c>
      <c r="J73" s="22">
        <v>1</v>
      </c>
      <c r="K73" s="23">
        <v>45170</v>
      </c>
      <c r="L73" s="16"/>
    </row>
    <row r="74" spans="1:12" ht="15" x14ac:dyDescent="0.3">
      <c r="A74" s="3" t="s">
        <v>29</v>
      </c>
      <c r="B74" s="20" t="s">
        <v>44</v>
      </c>
      <c r="C74" s="29">
        <v>21</v>
      </c>
      <c r="D74" s="29">
        <v>17</v>
      </c>
      <c r="E74" s="30">
        <v>8297</v>
      </c>
      <c r="F74" s="24">
        <v>40</v>
      </c>
      <c r="G74" s="21">
        <v>331880</v>
      </c>
      <c r="H74" s="30">
        <v>372740</v>
      </c>
      <c r="I74" s="22">
        <v>0.95</v>
      </c>
      <c r="J74" s="22">
        <v>0.99</v>
      </c>
      <c r="K74" s="23">
        <v>45170</v>
      </c>
      <c r="L74" s="16" t="s">
        <v>20</v>
      </c>
    </row>
    <row r="75" spans="1:12" ht="15" x14ac:dyDescent="0.3">
      <c r="A75" s="3" t="s">
        <v>29</v>
      </c>
      <c r="B75" s="20" t="s">
        <v>45</v>
      </c>
      <c r="C75" s="29">
        <v>34</v>
      </c>
      <c r="D75" s="29">
        <v>28</v>
      </c>
      <c r="E75" s="21">
        <v>763515</v>
      </c>
      <c r="F75" s="21">
        <v>1</v>
      </c>
      <c r="G75" s="21">
        <v>763515</v>
      </c>
      <c r="H75" s="30">
        <v>848096</v>
      </c>
      <c r="I75" s="22">
        <v>0.96499999999999997</v>
      </c>
      <c r="J75" s="22">
        <v>0.98</v>
      </c>
      <c r="K75" s="23">
        <v>45170</v>
      </c>
      <c r="L75" s="16"/>
    </row>
    <row r="76" spans="1:12" ht="15" x14ac:dyDescent="0.3">
      <c r="A76" s="3" t="s">
        <v>29</v>
      </c>
      <c r="B76" s="20" t="s">
        <v>46</v>
      </c>
      <c r="C76" s="29">
        <v>48.6</v>
      </c>
      <c r="D76" s="29">
        <v>42</v>
      </c>
      <c r="E76" s="21">
        <v>1036660</v>
      </c>
      <c r="F76" s="24">
        <v>1</v>
      </c>
      <c r="G76" s="21">
        <v>1036660</v>
      </c>
      <c r="H76" s="30">
        <v>1087298</v>
      </c>
      <c r="I76" s="22">
        <v>0.95599999999999996</v>
      </c>
      <c r="J76" s="22">
        <v>0.95</v>
      </c>
      <c r="K76" s="23">
        <v>45170</v>
      </c>
      <c r="L76" s="16"/>
    </row>
    <row r="77" spans="1:12" ht="15" x14ac:dyDescent="0.3">
      <c r="A77" s="3" t="s">
        <v>29</v>
      </c>
      <c r="B77" s="20" t="s">
        <v>47</v>
      </c>
      <c r="C77" s="29">
        <v>12</v>
      </c>
      <c r="D77" s="29">
        <v>10</v>
      </c>
      <c r="E77" s="21">
        <v>230868</v>
      </c>
      <c r="F77" s="21">
        <v>1</v>
      </c>
      <c r="G77" s="21">
        <v>230868</v>
      </c>
      <c r="H77" s="30">
        <v>233473</v>
      </c>
      <c r="I77" s="22">
        <v>0.96399999999999997</v>
      </c>
      <c r="J77" s="22">
        <v>0.99</v>
      </c>
      <c r="K77" s="23">
        <v>45170</v>
      </c>
      <c r="L77" s="16"/>
    </row>
    <row r="78" spans="1:12" ht="15" x14ac:dyDescent="0.3">
      <c r="A78" s="3" t="s">
        <v>29</v>
      </c>
      <c r="B78" s="20" t="s">
        <v>48</v>
      </c>
      <c r="C78" s="29">
        <v>9</v>
      </c>
      <c r="D78" s="29">
        <v>7</v>
      </c>
      <c r="E78" s="30">
        <v>196458</v>
      </c>
      <c r="F78" s="24">
        <v>1</v>
      </c>
      <c r="G78" s="21">
        <v>196458</v>
      </c>
      <c r="H78" s="30">
        <v>229985.6</v>
      </c>
      <c r="I78" s="22">
        <v>0.98599999999999999</v>
      </c>
      <c r="J78" s="28">
        <v>1</v>
      </c>
      <c r="K78" s="23">
        <v>45170</v>
      </c>
      <c r="L78" s="16" t="s">
        <v>21</v>
      </c>
    </row>
    <row r="79" spans="1:12" x14ac:dyDescent="0.3">
      <c r="A79" s="3" t="s">
        <v>29</v>
      </c>
      <c r="B79" s="20" t="s">
        <v>49</v>
      </c>
      <c r="C79" s="29">
        <v>10</v>
      </c>
      <c r="D79" s="29">
        <v>0</v>
      </c>
      <c r="E79" s="21"/>
      <c r="F79" s="24"/>
      <c r="G79" s="21"/>
      <c r="H79" s="21"/>
      <c r="I79" s="21"/>
      <c r="J79" s="21"/>
      <c r="K79" s="23">
        <v>45170</v>
      </c>
      <c r="L79" s="16"/>
    </row>
    <row r="80" spans="1:12" x14ac:dyDescent="0.3">
      <c r="A80" s="3" t="s">
        <v>29</v>
      </c>
      <c r="B80" s="20" t="s">
        <v>50</v>
      </c>
      <c r="C80" s="29">
        <v>6</v>
      </c>
      <c r="D80" s="29">
        <v>0</v>
      </c>
      <c r="E80" s="21"/>
      <c r="F80" s="24"/>
      <c r="G80" s="21"/>
      <c r="H80" s="21"/>
      <c r="I80" s="24"/>
      <c r="J80" s="24"/>
      <c r="K80" s="23">
        <v>45170</v>
      </c>
      <c r="L80" s="16"/>
    </row>
    <row r="81" spans="1:12" x14ac:dyDescent="0.3">
      <c r="A81" s="3" t="s">
        <v>29</v>
      </c>
      <c r="B81" s="20" t="s">
        <v>42</v>
      </c>
      <c r="C81" s="29">
        <v>4</v>
      </c>
      <c r="D81" s="29">
        <v>0</v>
      </c>
      <c r="E81" s="21"/>
      <c r="F81" s="24"/>
      <c r="G81" s="21"/>
      <c r="H81" s="21"/>
      <c r="I81" s="24"/>
      <c r="J81" s="24"/>
      <c r="K81" s="23">
        <v>45170</v>
      </c>
      <c r="L81" s="16"/>
    </row>
    <row r="82" spans="1:12" x14ac:dyDescent="0.3">
      <c r="A82" s="3" t="s">
        <v>30</v>
      </c>
      <c r="B82" s="20" t="s">
        <v>51</v>
      </c>
      <c r="C82" s="29">
        <v>40</v>
      </c>
      <c r="D82" s="29">
        <v>32</v>
      </c>
      <c r="E82" s="21">
        <v>760362</v>
      </c>
      <c r="F82" s="24">
        <v>1</v>
      </c>
      <c r="G82" s="21">
        <v>760362</v>
      </c>
      <c r="H82" s="21">
        <v>811911</v>
      </c>
      <c r="I82" s="2">
        <v>0.96</v>
      </c>
      <c r="J82" s="2">
        <v>0.91139999999999999</v>
      </c>
      <c r="K82" s="23">
        <v>45170</v>
      </c>
      <c r="L82" s="16"/>
    </row>
    <row r="83" spans="1:12" x14ac:dyDescent="0.3">
      <c r="A83" s="3" t="s">
        <v>30</v>
      </c>
      <c r="B83" s="8" t="s">
        <v>70</v>
      </c>
      <c r="C83" s="29">
        <v>26</v>
      </c>
      <c r="D83" s="29">
        <v>21</v>
      </c>
      <c r="E83" s="21">
        <v>578136.4</v>
      </c>
      <c r="F83" s="24">
        <v>1</v>
      </c>
      <c r="G83" s="21">
        <v>578136.4</v>
      </c>
      <c r="H83" s="21">
        <v>609522.72</v>
      </c>
      <c r="I83" s="2">
        <v>0.96</v>
      </c>
      <c r="J83" s="2">
        <v>0.99</v>
      </c>
      <c r="K83" s="23">
        <v>45170</v>
      </c>
      <c r="L83" s="16"/>
    </row>
    <row r="84" spans="1:12" x14ac:dyDescent="0.3">
      <c r="A84" s="3" t="s">
        <v>30</v>
      </c>
      <c r="B84" s="20" t="s">
        <v>52</v>
      </c>
      <c r="C84" s="29">
        <v>10</v>
      </c>
      <c r="D84" s="29">
        <v>8</v>
      </c>
      <c r="E84" s="21">
        <v>183520</v>
      </c>
      <c r="F84" s="24">
        <v>1</v>
      </c>
      <c r="G84" s="21">
        <v>183520</v>
      </c>
      <c r="H84" s="21">
        <v>200640</v>
      </c>
      <c r="I84" s="2">
        <v>0.95289999999999997</v>
      </c>
      <c r="J84" s="2">
        <v>0.98599999999999999</v>
      </c>
      <c r="K84" s="23">
        <v>45170</v>
      </c>
      <c r="L84" s="16"/>
    </row>
    <row r="85" spans="1:12" x14ac:dyDescent="0.3">
      <c r="A85" s="3" t="s">
        <v>30</v>
      </c>
      <c r="B85" s="8" t="s">
        <v>71</v>
      </c>
      <c r="C85" s="29">
        <v>25</v>
      </c>
      <c r="D85" s="29">
        <v>19</v>
      </c>
      <c r="E85" s="21">
        <v>632881.75</v>
      </c>
      <c r="F85" s="24">
        <v>1</v>
      </c>
      <c r="G85" s="21">
        <v>632881.75</v>
      </c>
      <c r="H85" s="21">
        <v>669600</v>
      </c>
      <c r="I85" s="2">
        <v>0.97099999999999997</v>
      </c>
      <c r="J85" s="2">
        <v>0.98709999999999998</v>
      </c>
      <c r="K85" s="23">
        <v>45170</v>
      </c>
      <c r="L85" s="16"/>
    </row>
    <row r="86" spans="1:12" x14ac:dyDescent="0.3">
      <c r="A86" s="3" t="s">
        <v>30</v>
      </c>
      <c r="B86" s="20" t="s">
        <v>53</v>
      </c>
      <c r="C86" s="29">
        <v>15.17</v>
      </c>
      <c r="D86" s="29">
        <v>13</v>
      </c>
      <c r="E86" s="21">
        <v>261171.4</v>
      </c>
      <c r="F86" s="24">
        <v>1</v>
      </c>
      <c r="G86" s="21">
        <v>261171.4</v>
      </c>
      <c r="H86" s="21">
        <v>266653.94</v>
      </c>
      <c r="I86" s="2">
        <v>0.97929999999999995</v>
      </c>
      <c r="J86" s="2"/>
      <c r="K86" s="23">
        <v>45170</v>
      </c>
      <c r="L86" s="16"/>
    </row>
    <row r="87" spans="1:12" x14ac:dyDescent="0.3">
      <c r="A87" s="3" t="s">
        <v>30</v>
      </c>
      <c r="B87" s="20" t="s">
        <v>54</v>
      </c>
      <c r="C87" s="29">
        <v>2.25</v>
      </c>
      <c r="D87" s="29">
        <v>1.5</v>
      </c>
      <c r="E87" s="21">
        <v>66543</v>
      </c>
      <c r="F87" s="24">
        <v>1</v>
      </c>
      <c r="G87" s="21">
        <v>66543</v>
      </c>
      <c r="H87" s="21">
        <v>62855.5</v>
      </c>
      <c r="I87" s="2">
        <v>0.96509999999999996</v>
      </c>
      <c r="J87" s="2"/>
      <c r="K87" s="23">
        <v>45170</v>
      </c>
      <c r="L87" s="16"/>
    </row>
    <row r="88" spans="1:12" x14ac:dyDescent="0.3">
      <c r="A88" s="3" t="s">
        <v>30</v>
      </c>
      <c r="B88" s="20" t="s">
        <v>55</v>
      </c>
      <c r="C88" s="29">
        <v>4</v>
      </c>
      <c r="D88" s="29">
        <v>0</v>
      </c>
      <c r="E88" s="24"/>
      <c r="F88" s="24"/>
      <c r="G88" s="21"/>
      <c r="H88" s="21"/>
      <c r="I88" s="24"/>
      <c r="J88" s="24"/>
      <c r="K88" s="23">
        <v>45170</v>
      </c>
      <c r="L88" s="16"/>
    </row>
    <row r="89" spans="1:12" x14ac:dyDescent="0.3">
      <c r="A89" s="3" t="s">
        <v>28</v>
      </c>
      <c r="B89" s="5" t="s">
        <v>31</v>
      </c>
      <c r="C89" s="21">
        <v>89</v>
      </c>
      <c r="D89" s="21">
        <v>80</v>
      </c>
      <c r="E89" s="21">
        <v>28066</v>
      </c>
      <c r="F89" s="21">
        <v>53</v>
      </c>
      <c r="G89" s="21">
        <v>1487498</v>
      </c>
      <c r="H89" s="21">
        <v>1720545</v>
      </c>
      <c r="I89" s="22">
        <v>0.97299999999999998</v>
      </c>
      <c r="J89" s="22">
        <v>0.99</v>
      </c>
      <c r="K89" s="23">
        <v>45261</v>
      </c>
      <c r="L89" s="31" t="s">
        <v>22</v>
      </c>
    </row>
    <row r="90" spans="1:12" x14ac:dyDescent="0.3">
      <c r="A90" s="3" t="s">
        <v>28</v>
      </c>
      <c r="B90" s="5" t="s">
        <v>32</v>
      </c>
      <c r="C90" s="21">
        <v>30</v>
      </c>
      <c r="D90" s="24">
        <v>24</v>
      </c>
      <c r="E90" s="21">
        <v>8593.35</v>
      </c>
      <c r="F90" s="25">
        <v>39</v>
      </c>
      <c r="G90" s="21">
        <v>335140.65000000002</v>
      </c>
      <c r="H90" s="21">
        <v>361619.31</v>
      </c>
      <c r="I90" s="22">
        <v>0.97599999999999998</v>
      </c>
      <c r="J90" s="22">
        <v>0.99</v>
      </c>
      <c r="K90" s="23">
        <v>45261</v>
      </c>
      <c r="L90" s="31" t="s">
        <v>23</v>
      </c>
    </row>
    <row r="91" spans="1:12" x14ac:dyDescent="0.3">
      <c r="A91" s="3" t="s">
        <v>28</v>
      </c>
      <c r="B91" s="5" t="s">
        <v>33</v>
      </c>
      <c r="C91" s="21">
        <v>15</v>
      </c>
      <c r="D91" s="24">
        <v>12</v>
      </c>
      <c r="E91" s="21">
        <v>275388</v>
      </c>
      <c r="F91" s="21">
        <v>1</v>
      </c>
      <c r="G91" s="21">
        <v>275388</v>
      </c>
      <c r="H91" s="21">
        <v>262296</v>
      </c>
      <c r="I91" s="22">
        <v>0.97899999999999998</v>
      </c>
      <c r="J91" s="22">
        <v>0.92</v>
      </c>
      <c r="K91" s="23">
        <v>45261</v>
      </c>
      <c r="L91" s="14" t="s">
        <v>24</v>
      </c>
    </row>
    <row r="92" spans="1:12" x14ac:dyDescent="0.3">
      <c r="A92" s="3" t="s">
        <v>28</v>
      </c>
      <c r="B92" s="5" t="s">
        <v>34</v>
      </c>
      <c r="C92" s="24">
        <v>37</v>
      </c>
      <c r="D92" s="24">
        <v>27</v>
      </c>
      <c r="E92" s="21">
        <v>10786</v>
      </c>
      <c r="F92" s="21">
        <v>53</v>
      </c>
      <c r="G92" s="21">
        <v>571658</v>
      </c>
      <c r="H92" s="21">
        <v>622066</v>
      </c>
      <c r="I92" s="22">
        <v>0.96</v>
      </c>
      <c r="J92" s="22">
        <v>0.93</v>
      </c>
      <c r="K92" s="23">
        <v>45261</v>
      </c>
      <c r="L92" s="38"/>
    </row>
    <row r="93" spans="1:12" x14ac:dyDescent="0.3">
      <c r="A93" s="3" t="s">
        <v>28</v>
      </c>
      <c r="B93" s="5" t="s">
        <v>35</v>
      </c>
      <c r="C93" s="24">
        <v>32</v>
      </c>
      <c r="D93" s="24">
        <v>28</v>
      </c>
      <c r="E93" s="21">
        <v>18884</v>
      </c>
      <c r="F93" s="21">
        <v>34</v>
      </c>
      <c r="G93" s="21">
        <v>642056</v>
      </c>
      <c r="H93" s="21">
        <v>657892</v>
      </c>
      <c r="I93" s="22">
        <v>0.97399999999999998</v>
      </c>
      <c r="J93" s="22">
        <v>0.98</v>
      </c>
      <c r="K93" s="23">
        <v>45261</v>
      </c>
      <c r="L93" s="38"/>
    </row>
    <row r="94" spans="1:12" x14ac:dyDescent="0.3">
      <c r="A94" s="3" t="s">
        <v>28</v>
      </c>
      <c r="B94" s="5" t="s">
        <v>36</v>
      </c>
      <c r="C94" s="24">
        <v>42</v>
      </c>
      <c r="D94" s="24">
        <v>30</v>
      </c>
      <c r="E94" s="21">
        <v>14862</v>
      </c>
      <c r="F94" s="21">
        <v>43</v>
      </c>
      <c r="G94" s="21">
        <v>639066</v>
      </c>
      <c r="H94" s="21">
        <v>696811</v>
      </c>
      <c r="I94" s="26">
        <v>0.96599999999999997</v>
      </c>
      <c r="J94" s="26">
        <v>0.96</v>
      </c>
      <c r="K94" s="23">
        <v>45261</v>
      </c>
      <c r="L94" s="38"/>
    </row>
    <row r="95" spans="1:12" x14ac:dyDescent="0.3">
      <c r="A95" s="3" t="s">
        <v>28</v>
      </c>
      <c r="B95" s="5" t="s">
        <v>37</v>
      </c>
      <c r="C95" s="27">
        <v>18</v>
      </c>
      <c r="D95" s="27">
        <v>16</v>
      </c>
      <c r="E95" s="11">
        <v>3488</v>
      </c>
      <c r="F95" s="11">
        <v>43</v>
      </c>
      <c r="G95" s="11">
        <v>149984</v>
      </c>
      <c r="H95" s="21">
        <v>199488</v>
      </c>
      <c r="I95" s="26">
        <v>0.97799999999999998</v>
      </c>
      <c r="J95" s="26">
        <v>0.99</v>
      </c>
      <c r="K95" s="23">
        <v>45261</v>
      </c>
      <c r="L95" s="31" t="s">
        <v>25</v>
      </c>
    </row>
    <row r="96" spans="1:12" x14ac:dyDescent="0.3">
      <c r="A96" s="3" t="s">
        <v>28</v>
      </c>
      <c r="B96" s="5" t="s">
        <v>38</v>
      </c>
      <c r="C96" s="24">
        <v>8</v>
      </c>
      <c r="D96" s="24">
        <v>5.5</v>
      </c>
      <c r="E96" s="21">
        <v>3840</v>
      </c>
      <c r="F96" s="21">
        <v>32</v>
      </c>
      <c r="G96" s="21">
        <v>122880</v>
      </c>
      <c r="H96" s="21">
        <v>131272</v>
      </c>
      <c r="I96" s="26">
        <v>0.96</v>
      </c>
      <c r="J96" s="26">
        <v>0.96</v>
      </c>
      <c r="K96" s="23">
        <v>45261</v>
      </c>
      <c r="L96" s="31"/>
    </row>
    <row r="97" spans="1:12" x14ac:dyDescent="0.3">
      <c r="A97" s="3" t="s">
        <v>28</v>
      </c>
      <c r="B97" s="5" t="s">
        <v>39</v>
      </c>
      <c r="C97" s="24">
        <v>22</v>
      </c>
      <c r="D97" s="24">
        <v>15</v>
      </c>
      <c r="E97" s="21">
        <v>276405</v>
      </c>
      <c r="F97" s="21">
        <v>1</v>
      </c>
      <c r="G97" s="21">
        <v>276405</v>
      </c>
      <c r="H97" s="21">
        <v>312120</v>
      </c>
      <c r="I97" s="26">
        <v>0.96199999999999997</v>
      </c>
      <c r="J97" s="26">
        <v>0.99</v>
      </c>
      <c r="K97" s="23">
        <v>45261</v>
      </c>
      <c r="L97" s="31" t="s">
        <v>26</v>
      </c>
    </row>
    <row r="98" spans="1:12" x14ac:dyDescent="0.3">
      <c r="A98" s="3" t="s">
        <v>28</v>
      </c>
      <c r="B98" s="5" t="s">
        <v>40</v>
      </c>
      <c r="C98" s="24">
        <v>24</v>
      </c>
      <c r="D98" s="24">
        <v>20</v>
      </c>
      <c r="E98" s="24">
        <v>489459</v>
      </c>
      <c r="F98" s="21">
        <v>1</v>
      </c>
      <c r="G98" s="21">
        <v>489459</v>
      </c>
      <c r="H98" s="21">
        <v>485490</v>
      </c>
      <c r="I98" s="22">
        <v>0.99</v>
      </c>
      <c r="J98" s="28">
        <v>1</v>
      </c>
      <c r="K98" s="23">
        <v>45261</v>
      </c>
      <c r="L98" s="38"/>
    </row>
    <row r="99" spans="1:12" x14ac:dyDescent="0.3">
      <c r="A99" s="3" t="s">
        <v>28</v>
      </c>
      <c r="B99" s="5" t="s">
        <v>41</v>
      </c>
      <c r="C99" s="24">
        <v>14</v>
      </c>
      <c r="D99" s="24">
        <v>12</v>
      </c>
      <c r="E99" s="21">
        <v>67051</v>
      </c>
      <c r="F99" s="21">
        <v>5</v>
      </c>
      <c r="G99" s="21">
        <v>335255</v>
      </c>
      <c r="H99" s="21">
        <v>343715</v>
      </c>
      <c r="I99" s="22">
        <v>0.94599999999999995</v>
      </c>
      <c r="J99" s="24"/>
      <c r="K99" s="23">
        <v>45261</v>
      </c>
      <c r="L99" s="38"/>
    </row>
    <row r="100" spans="1:12" x14ac:dyDescent="0.3">
      <c r="A100" s="3" t="s">
        <v>28</v>
      </c>
      <c r="B100" s="5" t="s">
        <v>56</v>
      </c>
      <c r="C100" s="24">
        <v>19</v>
      </c>
      <c r="D100" s="24">
        <v>14</v>
      </c>
      <c r="E100" s="21"/>
      <c r="F100" s="21"/>
      <c r="G100" s="21"/>
      <c r="H100" s="21"/>
      <c r="I100" s="21"/>
      <c r="J100" s="21"/>
      <c r="K100" s="23">
        <v>45261</v>
      </c>
      <c r="L100" s="38"/>
    </row>
    <row r="101" spans="1:12" x14ac:dyDescent="0.3">
      <c r="A101" s="3" t="s">
        <v>28</v>
      </c>
      <c r="B101" s="5" t="s">
        <v>42</v>
      </c>
      <c r="C101" s="24">
        <v>7</v>
      </c>
      <c r="D101" s="24">
        <v>0</v>
      </c>
      <c r="E101" s="21"/>
      <c r="F101" s="24"/>
      <c r="G101" s="21"/>
      <c r="H101" s="21"/>
      <c r="I101" s="21"/>
      <c r="J101" s="21"/>
      <c r="K101" s="23">
        <v>45261</v>
      </c>
      <c r="L101" s="38"/>
    </row>
    <row r="102" spans="1:12" ht="15" x14ac:dyDescent="0.3">
      <c r="A102" s="3" t="s">
        <v>29</v>
      </c>
      <c r="B102" s="5" t="s">
        <v>43</v>
      </c>
      <c r="C102" s="29">
        <v>18</v>
      </c>
      <c r="D102" s="29">
        <v>14</v>
      </c>
      <c r="E102" s="21">
        <v>240972</v>
      </c>
      <c r="F102" s="21">
        <v>1</v>
      </c>
      <c r="G102" s="21">
        <v>240972</v>
      </c>
      <c r="H102" s="30">
        <v>245797</v>
      </c>
      <c r="I102" s="22">
        <v>0.96399999999999997</v>
      </c>
      <c r="J102" s="22">
        <v>0.96089999999999998</v>
      </c>
      <c r="K102" s="23">
        <v>45261</v>
      </c>
      <c r="L102" s="38"/>
    </row>
    <row r="103" spans="1:12" ht="15" x14ac:dyDescent="0.3">
      <c r="A103" s="3" t="s">
        <v>29</v>
      </c>
      <c r="B103" s="5" t="s">
        <v>44</v>
      </c>
      <c r="C103" s="29">
        <v>17</v>
      </c>
      <c r="D103" s="29">
        <v>12</v>
      </c>
      <c r="E103" s="30">
        <v>5912</v>
      </c>
      <c r="F103" s="24">
        <v>40</v>
      </c>
      <c r="G103" s="21">
        <v>236480</v>
      </c>
      <c r="H103" s="32">
        <v>256573.40000000002</v>
      </c>
      <c r="I103" s="22">
        <v>0.95199999999999996</v>
      </c>
      <c r="J103" s="22">
        <v>0.99</v>
      </c>
      <c r="K103" s="23">
        <v>45261</v>
      </c>
      <c r="L103" s="38"/>
    </row>
    <row r="104" spans="1:12" ht="15" x14ac:dyDescent="0.3">
      <c r="A104" s="3" t="s">
        <v>29</v>
      </c>
      <c r="B104" s="5" t="s">
        <v>45</v>
      </c>
      <c r="C104" s="29">
        <v>34</v>
      </c>
      <c r="D104" s="29">
        <v>28</v>
      </c>
      <c r="E104" s="21">
        <v>655062</v>
      </c>
      <c r="F104" s="21">
        <v>1</v>
      </c>
      <c r="G104" s="21">
        <v>655062</v>
      </c>
      <c r="H104" s="30">
        <v>663421</v>
      </c>
      <c r="I104" s="22">
        <v>0.96799999999999997</v>
      </c>
      <c r="J104" s="22">
        <v>0.9</v>
      </c>
      <c r="K104" s="23">
        <v>45261</v>
      </c>
      <c r="L104" s="38"/>
    </row>
    <row r="105" spans="1:12" ht="15" x14ac:dyDescent="0.3">
      <c r="A105" s="3" t="s">
        <v>29</v>
      </c>
      <c r="B105" s="5" t="s">
        <v>46</v>
      </c>
      <c r="C105" s="29">
        <v>48</v>
      </c>
      <c r="D105" s="29">
        <v>41</v>
      </c>
      <c r="E105" s="21">
        <v>875935.9</v>
      </c>
      <c r="F105" s="24">
        <v>1</v>
      </c>
      <c r="G105" s="21">
        <v>875935.9</v>
      </c>
      <c r="H105" s="30">
        <v>906692</v>
      </c>
      <c r="I105" s="22">
        <v>0.95099999999999996</v>
      </c>
      <c r="J105" s="22">
        <v>0.97</v>
      </c>
      <c r="K105" s="23">
        <v>45261</v>
      </c>
      <c r="L105" s="38"/>
    </row>
    <row r="106" spans="1:12" ht="15" x14ac:dyDescent="0.3">
      <c r="A106" s="3" t="s">
        <v>29</v>
      </c>
      <c r="B106" s="5" t="s">
        <v>47</v>
      </c>
      <c r="C106" s="29">
        <v>14</v>
      </c>
      <c r="D106" s="29">
        <v>12</v>
      </c>
      <c r="E106" s="21">
        <v>229134</v>
      </c>
      <c r="F106" s="24">
        <v>1</v>
      </c>
      <c r="G106" s="21">
        <v>229134</v>
      </c>
      <c r="H106" s="30">
        <v>248595</v>
      </c>
      <c r="I106" s="22">
        <v>0.96099999999999997</v>
      </c>
      <c r="J106" s="22">
        <v>0.99</v>
      </c>
      <c r="K106" s="23">
        <v>45261</v>
      </c>
      <c r="L106" s="38"/>
    </row>
    <row r="107" spans="1:12" ht="15" x14ac:dyDescent="0.3">
      <c r="A107" s="3" t="s">
        <v>29</v>
      </c>
      <c r="B107" s="5" t="s">
        <v>48</v>
      </c>
      <c r="C107" s="29">
        <v>9</v>
      </c>
      <c r="D107" s="29">
        <v>7</v>
      </c>
      <c r="E107" s="30">
        <v>166073</v>
      </c>
      <c r="F107" s="24">
        <v>1</v>
      </c>
      <c r="G107" s="21">
        <v>166073</v>
      </c>
      <c r="H107" s="30">
        <v>173262</v>
      </c>
      <c r="I107" s="22">
        <v>0.96399999999999997</v>
      </c>
      <c r="J107" s="28">
        <v>1</v>
      </c>
      <c r="K107" s="23">
        <v>45261</v>
      </c>
      <c r="L107" s="38"/>
    </row>
    <row r="108" spans="1:12" x14ac:dyDescent="0.3">
      <c r="A108" s="3" t="s">
        <v>29</v>
      </c>
      <c r="B108" s="5" t="s">
        <v>49</v>
      </c>
      <c r="C108" s="29">
        <v>10</v>
      </c>
      <c r="D108" s="29">
        <v>0</v>
      </c>
      <c r="E108" s="21"/>
      <c r="F108" s="21"/>
      <c r="G108" s="21"/>
      <c r="H108" s="21"/>
      <c r="I108" s="21"/>
      <c r="J108" s="21"/>
      <c r="K108" s="23">
        <v>45261</v>
      </c>
      <c r="L108" s="38"/>
    </row>
    <row r="109" spans="1:12" x14ac:dyDescent="0.3">
      <c r="A109" s="3" t="s">
        <v>29</v>
      </c>
      <c r="B109" s="5" t="s">
        <v>50</v>
      </c>
      <c r="C109" s="29">
        <v>6</v>
      </c>
      <c r="D109" s="29">
        <v>0</v>
      </c>
      <c r="E109" s="21"/>
      <c r="F109" s="21"/>
      <c r="G109" s="21"/>
      <c r="H109" s="21"/>
      <c r="I109" s="21"/>
      <c r="J109" s="21"/>
      <c r="K109" s="23">
        <v>45261</v>
      </c>
      <c r="L109" s="38"/>
    </row>
    <row r="110" spans="1:12" x14ac:dyDescent="0.3">
      <c r="A110" s="3" t="s">
        <v>29</v>
      </c>
      <c r="B110" s="5" t="s">
        <v>42</v>
      </c>
      <c r="C110" s="29">
        <v>4</v>
      </c>
      <c r="D110" s="29">
        <v>0</v>
      </c>
      <c r="E110" s="21"/>
      <c r="F110" s="21"/>
      <c r="G110" s="21"/>
      <c r="H110" s="21"/>
      <c r="I110" s="21"/>
      <c r="J110" s="21"/>
      <c r="K110" s="23">
        <v>45261</v>
      </c>
      <c r="L110" s="38"/>
    </row>
    <row r="111" spans="1:12" x14ac:dyDescent="0.3">
      <c r="A111" s="3" t="s">
        <v>30</v>
      </c>
      <c r="B111" s="8" t="s">
        <v>51</v>
      </c>
      <c r="C111" s="29">
        <v>37</v>
      </c>
      <c r="D111" s="29">
        <v>30</v>
      </c>
      <c r="E111" s="21">
        <v>662133</v>
      </c>
      <c r="F111" s="24">
        <v>1</v>
      </c>
      <c r="G111" s="21">
        <v>662133</v>
      </c>
      <c r="H111" s="21">
        <v>708934</v>
      </c>
      <c r="I111" s="2">
        <v>0.96960000000000002</v>
      </c>
      <c r="J111" s="2">
        <v>0.87229999999999996</v>
      </c>
      <c r="K111" s="23">
        <v>45261</v>
      </c>
      <c r="L111" s="38"/>
    </row>
    <row r="112" spans="1:12" x14ac:dyDescent="0.3">
      <c r="A112" s="3" t="s">
        <v>30</v>
      </c>
      <c r="B112" s="8" t="s">
        <v>70</v>
      </c>
      <c r="C112" s="29">
        <v>26</v>
      </c>
      <c r="D112" s="29">
        <v>22</v>
      </c>
      <c r="E112" s="21">
        <v>512265</v>
      </c>
      <c r="F112" s="24">
        <v>1</v>
      </c>
      <c r="G112" s="21">
        <v>512265</v>
      </c>
      <c r="H112" s="21">
        <v>548166</v>
      </c>
      <c r="I112" s="2">
        <v>0.96</v>
      </c>
      <c r="J112" s="2">
        <v>0.98</v>
      </c>
      <c r="K112" s="23">
        <v>45261</v>
      </c>
      <c r="L112" s="38"/>
    </row>
    <row r="113" spans="1:12" x14ac:dyDescent="0.3">
      <c r="A113" s="3" t="s">
        <v>30</v>
      </c>
      <c r="B113" s="8" t="s">
        <v>52</v>
      </c>
      <c r="C113" s="29">
        <v>11</v>
      </c>
      <c r="D113" s="29">
        <v>9</v>
      </c>
      <c r="E113" s="21">
        <v>201619</v>
      </c>
      <c r="F113" s="24">
        <v>1</v>
      </c>
      <c r="G113" s="21">
        <v>201619</v>
      </c>
      <c r="H113" s="21">
        <v>232080</v>
      </c>
      <c r="I113" s="2">
        <v>0.93689999999999996</v>
      </c>
      <c r="J113" s="2">
        <v>0.98129999999999995</v>
      </c>
      <c r="K113" s="23">
        <v>45261</v>
      </c>
      <c r="L113" s="31" t="s">
        <v>27</v>
      </c>
    </row>
    <row r="114" spans="1:12" x14ac:dyDescent="0.3">
      <c r="A114" s="3" t="s">
        <v>30</v>
      </c>
      <c r="B114" s="8" t="s">
        <v>71</v>
      </c>
      <c r="C114" s="29">
        <v>24</v>
      </c>
      <c r="D114" s="29">
        <v>19</v>
      </c>
      <c r="E114" s="21">
        <v>474182</v>
      </c>
      <c r="F114" s="24">
        <v>1</v>
      </c>
      <c r="G114" s="21">
        <v>474182</v>
      </c>
      <c r="H114" s="21">
        <v>494399</v>
      </c>
      <c r="I114" s="2">
        <v>0.96399999999999997</v>
      </c>
      <c r="J114" s="2">
        <v>0.99497257769652647</v>
      </c>
      <c r="K114" s="23">
        <v>45261</v>
      </c>
      <c r="L114" s="38"/>
    </row>
    <row r="115" spans="1:12" x14ac:dyDescent="0.3">
      <c r="A115" s="3" t="s">
        <v>30</v>
      </c>
      <c r="B115" s="8" t="s">
        <v>53</v>
      </c>
      <c r="C115" s="29">
        <v>21.83</v>
      </c>
      <c r="D115" s="29">
        <v>19.329999999999998</v>
      </c>
      <c r="E115" s="21">
        <v>315165.98</v>
      </c>
      <c r="F115" s="24">
        <v>1</v>
      </c>
      <c r="G115" s="21">
        <v>315165.98</v>
      </c>
      <c r="H115" s="21">
        <v>314004.5</v>
      </c>
      <c r="I115" s="2">
        <v>0.95</v>
      </c>
      <c r="J115" s="2"/>
      <c r="K115" s="23">
        <v>45261</v>
      </c>
      <c r="L115" s="38"/>
    </row>
    <row r="116" spans="1:12" x14ac:dyDescent="0.3">
      <c r="A116" s="3" t="s">
        <v>30</v>
      </c>
      <c r="B116" s="8" t="s">
        <v>54</v>
      </c>
      <c r="C116" s="29">
        <v>2.25</v>
      </c>
      <c r="D116" s="29">
        <v>1.5</v>
      </c>
      <c r="E116" s="21">
        <v>69372.149999999994</v>
      </c>
      <c r="F116" s="24">
        <v>1</v>
      </c>
      <c r="G116" s="21">
        <v>69372.149999999994</v>
      </c>
      <c r="H116" s="21">
        <v>59992.5</v>
      </c>
      <c r="I116" s="2">
        <v>0.98</v>
      </c>
      <c r="J116" s="2"/>
      <c r="K116" s="23">
        <v>45261</v>
      </c>
      <c r="L116" s="38"/>
    </row>
    <row r="117" spans="1:12" x14ac:dyDescent="0.3">
      <c r="A117" s="3" t="s">
        <v>30</v>
      </c>
      <c r="B117" s="8" t="s">
        <v>55</v>
      </c>
      <c r="C117" s="29">
        <v>4</v>
      </c>
      <c r="D117" s="29">
        <v>0</v>
      </c>
      <c r="E117" s="24"/>
      <c r="F117" s="24"/>
      <c r="G117" s="21"/>
      <c r="H117" s="21"/>
      <c r="I117" s="24"/>
      <c r="J117" s="24"/>
      <c r="K117" s="23">
        <v>45261</v>
      </c>
      <c r="L117" s="38"/>
    </row>
  </sheetData>
  <autoFilter ref="A1:L117" xr:uid="{C318A6E0-E93B-43E5-8341-136F411226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>Morningstar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Mradul Siroliya</dc:creator>
  <cp:lastModifiedBy>Mradul Siroliya</cp:lastModifiedBy>
  <dcterms:created xsi:type="dcterms:W3CDTF">2024-04-01T09:34:44Z</dcterms:created>
  <dcterms:modified xsi:type="dcterms:W3CDTF">2024-04-19T12:24:01Z</dcterms:modified>
</cp:coreProperties>
</file>